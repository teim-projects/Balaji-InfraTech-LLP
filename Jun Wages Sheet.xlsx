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Y 26-27\Balaji Infratsructure\Web Development Team\"/>
    </mc:Choice>
  </mc:AlternateContent>
  <xr:revisionPtr revIDLastSave="0" documentId="8_{54C78CF4-9572-4CA0-B9A8-9CA91129A599}" xr6:coauthVersionLast="47" xr6:coauthVersionMax="47" xr10:uidLastSave="{00000000-0000-0000-0000-000000000000}"/>
  <bookViews>
    <workbookView xWindow="-120" yWindow="-120" windowWidth="29040" windowHeight="15720" xr2:uid="{5754AD11-5B83-49B4-B162-F6E3D34B1A05}"/>
  </bookViews>
  <sheets>
    <sheet name="BILLING &amp; PAY SHEET" sheetId="1" r:id="rId1"/>
  </sheets>
  <externalReferences>
    <externalReference r:id="rId2"/>
  </externalReferences>
  <definedNames>
    <definedName name="_xlnm._FilterDatabase" localSheetId="0" hidden="1">'BILLING &amp; PAY SHEET'!$A$8:$BS$118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119" i="1" l="1"/>
  <c r="BQ118" i="1"/>
  <c r="BP118" i="1"/>
  <c r="BK118" i="1"/>
  <c r="AO118" i="1"/>
  <c r="AM118" i="1"/>
  <c r="AL118" i="1"/>
  <c r="AH118" i="1"/>
  <c r="AG118" i="1"/>
  <c r="AE118" i="1"/>
  <c r="AD118" i="1"/>
  <c r="AC118" i="1"/>
  <c r="AA118" i="1"/>
  <c r="Z118" i="1"/>
  <c r="X118" i="1"/>
  <c r="W118" i="1"/>
  <c r="V118" i="1"/>
  <c r="BJ117" i="1"/>
  <c r="BI117" i="1"/>
  <c r="BH117" i="1"/>
  <c r="BC117" i="1"/>
  <c r="BA117" i="1"/>
  <c r="AW117" i="1"/>
  <c r="AU117" i="1"/>
  <c r="AS117" i="1"/>
  <c r="BB117" i="1" s="1"/>
  <c r="AK117" i="1"/>
  <c r="AJ117" i="1"/>
  <c r="AZ117" i="1" s="1"/>
  <c r="AI117" i="1"/>
  <c r="AY117" i="1" s="1"/>
  <c r="AF117" i="1"/>
  <c r="AV117" i="1" s="1"/>
  <c r="BD117" i="1" s="1"/>
  <c r="AB117" i="1"/>
  <c r="Y117" i="1"/>
  <c r="AX117" i="1" s="1"/>
  <c r="BI116" i="1"/>
  <c r="BH116" i="1"/>
  <c r="BC116" i="1"/>
  <c r="AX116" i="1"/>
  <c r="AV116" i="1"/>
  <c r="AU116" i="1"/>
  <c r="AJ116" i="1"/>
  <c r="AZ116" i="1" s="1"/>
  <c r="AI116" i="1"/>
  <c r="AF116" i="1"/>
  <c r="AS116" i="1" s="1"/>
  <c r="AB116" i="1"/>
  <c r="BJ116" i="1" s="1"/>
  <c r="Y116" i="1"/>
  <c r="AW116" i="1" s="1"/>
  <c r="BI115" i="1"/>
  <c r="BH115" i="1"/>
  <c r="BC115" i="1"/>
  <c r="BA115" i="1"/>
  <c r="AZ115" i="1"/>
  <c r="AX115" i="1"/>
  <c r="AW115" i="1"/>
  <c r="AJ115" i="1"/>
  <c r="AI115" i="1"/>
  <c r="AF115" i="1"/>
  <c r="AS115" i="1" s="1"/>
  <c r="AB115" i="1"/>
  <c r="BJ115" i="1" s="1"/>
  <c r="Y115" i="1"/>
  <c r="AY115" i="1" s="1"/>
  <c r="BJ114" i="1"/>
  <c r="BI114" i="1"/>
  <c r="BH114" i="1"/>
  <c r="BC114" i="1"/>
  <c r="AZ114" i="1"/>
  <c r="AY114" i="1"/>
  <c r="AU114" i="1"/>
  <c r="AJ114" i="1"/>
  <c r="AI114" i="1"/>
  <c r="AF114" i="1"/>
  <c r="AS114" i="1" s="1"/>
  <c r="AB114" i="1"/>
  <c r="Y114" i="1"/>
  <c r="BJ113" i="1"/>
  <c r="BI113" i="1"/>
  <c r="BH113" i="1"/>
  <c r="BC113" i="1"/>
  <c r="BA113" i="1"/>
  <c r="AX113" i="1"/>
  <c r="AW113" i="1"/>
  <c r="AU113" i="1"/>
  <c r="AS113" i="1"/>
  <c r="BB113" i="1" s="1"/>
  <c r="AJ113" i="1"/>
  <c r="AZ113" i="1" s="1"/>
  <c r="AI113" i="1"/>
  <c r="AY113" i="1" s="1"/>
  <c r="AF113" i="1"/>
  <c r="AK113" i="1" s="1"/>
  <c r="AB113" i="1"/>
  <c r="Y113" i="1"/>
  <c r="BI112" i="1"/>
  <c r="BH112" i="1"/>
  <c r="BC112" i="1"/>
  <c r="AK112" i="1"/>
  <c r="AJ112" i="1"/>
  <c r="AI112" i="1"/>
  <c r="AF112" i="1"/>
  <c r="AS112" i="1" s="1"/>
  <c r="AB112" i="1"/>
  <c r="BJ112" i="1" s="1"/>
  <c r="Y112" i="1"/>
  <c r="BI111" i="1"/>
  <c r="BH111" i="1"/>
  <c r="BC111" i="1"/>
  <c r="BA111" i="1"/>
  <c r="AZ111" i="1"/>
  <c r="AX111" i="1"/>
  <c r="AW111" i="1"/>
  <c r="AJ111" i="1"/>
  <c r="AI111" i="1"/>
  <c r="AF111" i="1"/>
  <c r="AB111" i="1"/>
  <c r="BJ111" i="1" s="1"/>
  <c r="Y111" i="1"/>
  <c r="AY111" i="1" s="1"/>
  <c r="BI110" i="1"/>
  <c r="BH110" i="1"/>
  <c r="BC110" i="1"/>
  <c r="BB110" i="1"/>
  <c r="AU110" i="1"/>
  <c r="AT110" i="1"/>
  <c r="AJ110" i="1"/>
  <c r="AZ110" i="1" s="1"/>
  <c r="AI110" i="1"/>
  <c r="AY110" i="1" s="1"/>
  <c r="AF110" i="1"/>
  <c r="AS110" i="1" s="1"/>
  <c r="AB110" i="1"/>
  <c r="BJ110" i="1" s="1"/>
  <c r="Y110" i="1"/>
  <c r="BJ109" i="1"/>
  <c r="BI109" i="1"/>
  <c r="BH109" i="1"/>
  <c r="BC109" i="1"/>
  <c r="BA109" i="1"/>
  <c r="AX109" i="1"/>
  <c r="AW109" i="1"/>
  <c r="AU109" i="1"/>
  <c r="AS109" i="1"/>
  <c r="AJ109" i="1"/>
  <c r="AZ109" i="1" s="1"/>
  <c r="AI109" i="1"/>
  <c r="AY109" i="1" s="1"/>
  <c r="AF109" i="1"/>
  <c r="AK109" i="1" s="1"/>
  <c r="AB109" i="1"/>
  <c r="Y109" i="1"/>
  <c r="BI108" i="1"/>
  <c r="BH108" i="1"/>
  <c r="BC108" i="1"/>
  <c r="AJ108" i="1"/>
  <c r="AI108" i="1"/>
  <c r="AF108" i="1"/>
  <c r="AS108" i="1" s="1"/>
  <c r="AB108" i="1"/>
  <c r="BJ108" i="1" s="1"/>
  <c r="Y108" i="1"/>
  <c r="BI107" i="1"/>
  <c r="BH107" i="1"/>
  <c r="BC107" i="1"/>
  <c r="BA107" i="1"/>
  <c r="AZ107" i="1"/>
  <c r="AX107" i="1"/>
  <c r="AW107" i="1"/>
  <c r="AJ107" i="1"/>
  <c r="AI107" i="1"/>
  <c r="AF107" i="1"/>
  <c r="AB107" i="1"/>
  <c r="BJ107" i="1" s="1"/>
  <c r="Y107" i="1"/>
  <c r="AY107" i="1" s="1"/>
  <c r="BI106" i="1"/>
  <c r="BH106" i="1"/>
  <c r="BC106" i="1"/>
  <c r="AY106" i="1"/>
  <c r="AT106" i="1"/>
  <c r="AJ106" i="1"/>
  <c r="AZ106" i="1" s="1"/>
  <c r="AI106" i="1"/>
  <c r="AF106" i="1"/>
  <c r="AS106" i="1" s="1"/>
  <c r="BB106" i="1" s="1"/>
  <c r="AB106" i="1"/>
  <c r="BJ106" i="1" s="1"/>
  <c r="Y106" i="1"/>
  <c r="BJ105" i="1"/>
  <c r="BI105" i="1"/>
  <c r="BH105" i="1"/>
  <c r="BC105" i="1"/>
  <c r="BA105" i="1"/>
  <c r="AX105" i="1"/>
  <c r="AW105" i="1"/>
  <c r="AU105" i="1"/>
  <c r="AJ105" i="1"/>
  <c r="AZ105" i="1" s="1"/>
  <c r="AI105" i="1"/>
  <c r="AF105" i="1"/>
  <c r="AV105" i="1" s="1"/>
  <c r="AB105" i="1"/>
  <c r="Y105" i="1"/>
  <c r="BI104" i="1"/>
  <c r="BH104" i="1"/>
  <c r="BC104" i="1"/>
  <c r="AK104" i="1"/>
  <c r="AN104" i="1" s="1"/>
  <c r="AJ104" i="1"/>
  <c r="AI104" i="1"/>
  <c r="AF104" i="1"/>
  <c r="AS104" i="1" s="1"/>
  <c r="AB104" i="1"/>
  <c r="BJ104" i="1" s="1"/>
  <c r="Y104" i="1"/>
  <c r="BI103" i="1"/>
  <c r="BH103" i="1"/>
  <c r="BC103" i="1"/>
  <c r="BA103" i="1"/>
  <c r="AS103" i="1"/>
  <c r="AJ103" i="1"/>
  <c r="AI103" i="1"/>
  <c r="AF103" i="1"/>
  <c r="AB103" i="1"/>
  <c r="BJ103" i="1" s="1"/>
  <c r="Y103" i="1"/>
  <c r="BI102" i="1"/>
  <c r="BH102" i="1"/>
  <c r="BC102" i="1"/>
  <c r="AS102" i="1"/>
  <c r="AJ102" i="1"/>
  <c r="AZ102" i="1" s="1"/>
  <c r="AI102" i="1"/>
  <c r="AF102" i="1"/>
  <c r="AB102" i="1"/>
  <c r="BJ102" i="1" s="1"/>
  <c r="Y102" i="1"/>
  <c r="BJ101" i="1"/>
  <c r="BI101" i="1"/>
  <c r="BH101" i="1"/>
  <c r="BC101" i="1"/>
  <c r="BA101" i="1"/>
  <c r="AX101" i="1"/>
  <c r="AW101" i="1"/>
  <c r="AU101" i="1"/>
  <c r="AJ101" i="1"/>
  <c r="AZ101" i="1" s="1"/>
  <c r="AI101" i="1"/>
  <c r="AY101" i="1" s="1"/>
  <c r="AF101" i="1"/>
  <c r="AB101" i="1"/>
  <c r="Y101" i="1"/>
  <c r="BI100" i="1"/>
  <c r="BH100" i="1"/>
  <c r="BC100" i="1"/>
  <c r="AW100" i="1"/>
  <c r="AU100" i="1"/>
  <c r="AJ100" i="1"/>
  <c r="AK100" i="1" s="1"/>
  <c r="AN100" i="1" s="1"/>
  <c r="AI100" i="1"/>
  <c r="AF100" i="1"/>
  <c r="AS100" i="1" s="1"/>
  <c r="AB100" i="1"/>
  <c r="BJ100" i="1" s="1"/>
  <c r="Y100" i="1"/>
  <c r="BI99" i="1"/>
  <c r="BH99" i="1"/>
  <c r="BC99" i="1"/>
  <c r="BB99" i="1"/>
  <c r="AZ99" i="1"/>
  <c r="AS99" i="1"/>
  <c r="AT99" i="1" s="1"/>
  <c r="AJ99" i="1"/>
  <c r="AI99" i="1"/>
  <c r="AY99" i="1" s="1"/>
  <c r="AF99" i="1"/>
  <c r="AB99" i="1"/>
  <c r="BJ99" i="1" s="1"/>
  <c r="Y99" i="1"/>
  <c r="BJ98" i="1"/>
  <c r="BI98" i="1"/>
  <c r="BH98" i="1"/>
  <c r="BC98" i="1"/>
  <c r="BA98" i="1"/>
  <c r="AZ98" i="1"/>
  <c r="AU98" i="1"/>
  <c r="AJ98" i="1"/>
  <c r="AI98" i="1"/>
  <c r="AY98" i="1" s="1"/>
  <c r="AF98" i="1"/>
  <c r="AB98" i="1"/>
  <c r="Y98" i="1"/>
  <c r="BJ97" i="1"/>
  <c r="BI97" i="1"/>
  <c r="BH97" i="1"/>
  <c r="BC97" i="1"/>
  <c r="BA97" i="1"/>
  <c r="AX97" i="1"/>
  <c r="AW97" i="1"/>
  <c r="AU97" i="1"/>
  <c r="AJ97" i="1"/>
  <c r="AZ97" i="1" s="1"/>
  <c r="AI97" i="1"/>
  <c r="AY97" i="1" s="1"/>
  <c r="AF97" i="1"/>
  <c r="AB97" i="1"/>
  <c r="Y97" i="1"/>
  <c r="BI96" i="1"/>
  <c r="BH96" i="1"/>
  <c r="BC96" i="1"/>
  <c r="AZ96" i="1"/>
  <c r="AK96" i="1"/>
  <c r="AJ96" i="1"/>
  <c r="AI96" i="1"/>
  <c r="AF96" i="1"/>
  <c r="AS96" i="1" s="1"/>
  <c r="AB96" i="1"/>
  <c r="BJ96" i="1" s="1"/>
  <c r="Y96" i="1"/>
  <c r="BI95" i="1"/>
  <c r="BH95" i="1"/>
  <c r="BC95" i="1"/>
  <c r="BA95" i="1"/>
  <c r="AZ95" i="1"/>
  <c r="AX95" i="1"/>
  <c r="AW95" i="1"/>
  <c r="AJ95" i="1"/>
  <c r="AI95" i="1"/>
  <c r="AY95" i="1" s="1"/>
  <c r="AF95" i="1"/>
  <c r="AB95" i="1"/>
  <c r="BJ95" i="1" s="1"/>
  <c r="Y95" i="1"/>
  <c r="AU95" i="1" s="1"/>
  <c r="BI94" i="1"/>
  <c r="BH94" i="1"/>
  <c r="BC94" i="1"/>
  <c r="AS94" i="1"/>
  <c r="AJ94" i="1"/>
  <c r="AI94" i="1"/>
  <c r="AF94" i="1"/>
  <c r="AK94" i="1" s="1"/>
  <c r="AB94" i="1"/>
  <c r="BJ94" i="1" s="1"/>
  <c r="Y94" i="1"/>
  <c r="BI93" i="1"/>
  <c r="BH93" i="1"/>
  <c r="BC93" i="1"/>
  <c r="AS93" i="1"/>
  <c r="AJ93" i="1"/>
  <c r="AI93" i="1"/>
  <c r="AF93" i="1"/>
  <c r="AK93" i="1" s="1"/>
  <c r="AB93" i="1"/>
  <c r="BJ93" i="1" s="1"/>
  <c r="Y93" i="1"/>
  <c r="BO92" i="1"/>
  <c r="BJ92" i="1"/>
  <c r="BI92" i="1"/>
  <c r="BH92" i="1"/>
  <c r="BC92" i="1"/>
  <c r="BB92" i="1"/>
  <c r="BA92" i="1"/>
  <c r="AX92" i="1"/>
  <c r="AU92" i="1"/>
  <c r="AS92" i="1"/>
  <c r="AT92" i="1" s="1"/>
  <c r="AK92" i="1"/>
  <c r="AJ92" i="1"/>
  <c r="AZ92" i="1" s="1"/>
  <c r="AI92" i="1"/>
  <c r="AY92" i="1" s="1"/>
  <c r="AF92" i="1"/>
  <c r="AV92" i="1" s="1"/>
  <c r="BD92" i="1" s="1"/>
  <c r="AB92" i="1"/>
  <c r="Y92" i="1"/>
  <c r="AW92" i="1" s="1"/>
  <c r="BI91" i="1"/>
  <c r="BH91" i="1"/>
  <c r="BC91" i="1"/>
  <c r="BA91" i="1"/>
  <c r="AX91" i="1"/>
  <c r="AW91" i="1"/>
  <c r="AV91" i="1"/>
  <c r="AU91" i="1"/>
  <c r="AJ91" i="1"/>
  <c r="AZ91" i="1" s="1"/>
  <c r="AI91" i="1"/>
  <c r="AY91" i="1" s="1"/>
  <c r="AF91" i="1"/>
  <c r="AS91" i="1" s="1"/>
  <c r="AB91" i="1"/>
  <c r="BJ91" i="1" s="1"/>
  <c r="Y91" i="1"/>
  <c r="BJ90" i="1"/>
  <c r="BI90" i="1"/>
  <c r="BH90" i="1"/>
  <c r="BC90" i="1"/>
  <c r="AX90" i="1"/>
  <c r="AW90" i="1"/>
  <c r="AU90" i="1"/>
  <c r="AJ90" i="1"/>
  <c r="AZ90" i="1" s="1"/>
  <c r="AI90" i="1"/>
  <c r="AY90" i="1" s="1"/>
  <c r="AF90" i="1"/>
  <c r="AV90" i="1" s="1"/>
  <c r="AB90" i="1"/>
  <c r="Y90" i="1"/>
  <c r="BA90" i="1" s="1"/>
  <c r="BJ89" i="1"/>
  <c r="BI89" i="1"/>
  <c r="BH89" i="1"/>
  <c r="BC89" i="1"/>
  <c r="AS89" i="1"/>
  <c r="AJ89" i="1"/>
  <c r="AI89" i="1"/>
  <c r="AF89" i="1"/>
  <c r="AK89" i="1" s="1"/>
  <c r="AB89" i="1"/>
  <c r="Y89" i="1"/>
  <c r="BJ88" i="1"/>
  <c r="BI88" i="1"/>
  <c r="BH88" i="1"/>
  <c r="BC88" i="1"/>
  <c r="BA88" i="1"/>
  <c r="AX88" i="1"/>
  <c r="AU88" i="1"/>
  <c r="AJ88" i="1"/>
  <c r="AZ88" i="1" s="1"/>
  <c r="AI88" i="1"/>
  <c r="AY88" i="1" s="1"/>
  <c r="AF88" i="1"/>
  <c r="AB88" i="1"/>
  <c r="Y88" i="1"/>
  <c r="AW88" i="1" s="1"/>
  <c r="BI87" i="1"/>
  <c r="BH87" i="1"/>
  <c r="BC87" i="1"/>
  <c r="BA87" i="1"/>
  <c r="AX87" i="1"/>
  <c r="AW87" i="1"/>
  <c r="AU87" i="1"/>
  <c r="AS87" i="1"/>
  <c r="AJ87" i="1"/>
  <c r="AK87" i="1" s="1"/>
  <c r="AI87" i="1"/>
  <c r="AY87" i="1" s="1"/>
  <c r="AF87" i="1"/>
  <c r="AV87" i="1" s="1"/>
  <c r="AB87" i="1"/>
  <c r="BJ87" i="1" s="1"/>
  <c r="Y87" i="1"/>
  <c r="BI86" i="1"/>
  <c r="BH86" i="1"/>
  <c r="BC86" i="1"/>
  <c r="AW86" i="1"/>
  <c r="AU86" i="1"/>
  <c r="AJ86" i="1"/>
  <c r="AI86" i="1"/>
  <c r="AF86" i="1"/>
  <c r="AB86" i="1"/>
  <c r="BJ86" i="1" s="1"/>
  <c r="Y86" i="1"/>
  <c r="BJ85" i="1"/>
  <c r="BI85" i="1"/>
  <c r="BH85" i="1"/>
  <c r="BC85" i="1"/>
  <c r="BB85" i="1"/>
  <c r="BA85" i="1"/>
  <c r="AZ85" i="1"/>
  <c r="AY85" i="1"/>
  <c r="AW85" i="1"/>
  <c r="AS85" i="1"/>
  <c r="AT85" i="1" s="1"/>
  <c r="AK85" i="1"/>
  <c r="AJ85" i="1"/>
  <c r="AI85" i="1"/>
  <c r="AF85" i="1"/>
  <c r="AV85" i="1" s="1"/>
  <c r="AB85" i="1"/>
  <c r="Y85" i="1"/>
  <c r="BI84" i="1"/>
  <c r="BH84" i="1"/>
  <c r="BC84" i="1"/>
  <c r="AX84" i="1"/>
  <c r="AU84" i="1"/>
  <c r="AJ84" i="1"/>
  <c r="AZ84" i="1" s="1"/>
  <c r="AI84" i="1"/>
  <c r="AY84" i="1" s="1"/>
  <c r="AF84" i="1"/>
  <c r="AB84" i="1"/>
  <c r="BJ84" i="1" s="1"/>
  <c r="Y84" i="1"/>
  <c r="AW84" i="1" s="1"/>
  <c r="BI83" i="1"/>
  <c r="BH83" i="1"/>
  <c r="BC83" i="1"/>
  <c r="AY83" i="1"/>
  <c r="AX83" i="1"/>
  <c r="AW83" i="1"/>
  <c r="AV83" i="1"/>
  <c r="AJ83" i="1"/>
  <c r="AI83" i="1"/>
  <c r="AF83" i="1"/>
  <c r="AS83" i="1" s="1"/>
  <c r="AB83" i="1"/>
  <c r="BJ83" i="1" s="1"/>
  <c r="Y83" i="1"/>
  <c r="BA83" i="1" s="1"/>
  <c r="BI82" i="1"/>
  <c r="BH82" i="1"/>
  <c r="BC82" i="1"/>
  <c r="BA82" i="1"/>
  <c r="AZ82" i="1"/>
  <c r="AY82" i="1"/>
  <c r="AX82" i="1"/>
  <c r="AS82" i="1"/>
  <c r="AJ82" i="1"/>
  <c r="AI82" i="1"/>
  <c r="AF82" i="1"/>
  <c r="AB82" i="1"/>
  <c r="BJ82" i="1" s="1"/>
  <c r="Y82" i="1"/>
  <c r="AU82" i="1" s="1"/>
  <c r="BJ81" i="1"/>
  <c r="BI81" i="1"/>
  <c r="BH81" i="1"/>
  <c r="BC81" i="1"/>
  <c r="BA81" i="1"/>
  <c r="AU81" i="1"/>
  <c r="AJ81" i="1"/>
  <c r="AZ81" i="1" s="1"/>
  <c r="AI81" i="1"/>
  <c r="AY81" i="1" s="1"/>
  <c r="AF81" i="1"/>
  <c r="AB81" i="1"/>
  <c r="Y81" i="1"/>
  <c r="BJ80" i="1"/>
  <c r="BI80" i="1"/>
  <c r="BH80" i="1"/>
  <c r="BC80" i="1"/>
  <c r="BB80" i="1"/>
  <c r="BA80" i="1"/>
  <c r="AX80" i="1"/>
  <c r="AW80" i="1"/>
  <c r="AV80" i="1"/>
  <c r="AU80" i="1"/>
  <c r="AT80" i="1"/>
  <c r="AS80" i="1"/>
  <c r="AK80" i="1"/>
  <c r="AJ80" i="1"/>
  <c r="AZ80" i="1" s="1"/>
  <c r="AI80" i="1"/>
  <c r="AY80" i="1" s="1"/>
  <c r="AF80" i="1"/>
  <c r="AB80" i="1"/>
  <c r="Y80" i="1"/>
  <c r="BI79" i="1"/>
  <c r="BH79" i="1"/>
  <c r="BC79" i="1"/>
  <c r="AV79" i="1"/>
  <c r="AU79" i="1"/>
  <c r="AJ79" i="1"/>
  <c r="AI79" i="1"/>
  <c r="AF79" i="1"/>
  <c r="AS79" i="1" s="1"/>
  <c r="AB79" i="1"/>
  <c r="BJ79" i="1" s="1"/>
  <c r="Y79" i="1"/>
  <c r="BJ78" i="1"/>
  <c r="BI78" i="1"/>
  <c r="BH78" i="1"/>
  <c r="BC78" i="1"/>
  <c r="BA78" i="1"/>
  <c r="AZ78" i="1"/>
  <c r="AY78" i="1"/>
  <c r="AX78" i="1"/>
  <c r="AJ78" i="1"/>
  <c r="AI78" i="1"/>
  <c r="AF78" i="1"/>
  <c r="AS78" i="1" s="1"/>
  <c r="AB78" i="1"/>
  <c r="Y78" i="1"/>
  <c r="AU78" i="1" s="1"/>
  <c r="BI77" i="1"/>
  <c r="BH77" i="1"/>
  <c r="BC77" i="1"/>
  <c r="BB77" i="1"/>
  <c r="AS77" i="1"/>
  <c r="AT77" i="1" s="1"/>
  <c r="AJ77" i="1"/>
  <c r="AZ77" i="1" s="1"/>
  <c r="AI77" i="1"/>
  <c r="AF77" i="1"/>
  <c r="AK77" i="1" s="1"/>
  <c r="AB77" i="1"/>
  <c r="BJ77" i="1" s="1"/>
  <c r="Y77" i="1"/>
  <c r="BJ76" i="1"/>
  <c r="BI76" i="1"/>
  <c r="BH76" i="1"/>
  <c r="BC76" i="1"/>
  <c r="BA76" i="1"/>
  <c r="AX76" i="1"/>
  <c r="AW76" i="1"/>
  <c r="AV76" i="1"/>
  <c r="AU76" i="1"/>
  <c r="AJ76" i="1"/>
  <c r="AZ76" i="1" s="1"/>
  <c r="AI76" i="1"/>
  <c r="AY76" i="1" s="1"/>
  <c r="AF76" i="1"/>
  <c r="AB76" i="1"/>
  <c r="Y76" i="1"/>
  <c r="BN75" i="1"/>
  <c r="BI75" i="1"/>
  <c r="BH75" i="1"/>
  <c r="BC75" i="1"/>
  <c r="AY75" i="1"/>
  <c r="AN75" i="1"/>
  <c r="AJ75" i="1"/>
  <c r="AK75" i="1" s="1"/>
  <c r="AI75" i="1"/>
  <c r="AF75" i="1"/>
  <c r="AS75" i="1" s="1"/>
  <c r="AB75" i="1"/>
  <c r="BJ75" i="1" s="1"/>
  <c r="Y75" i="1"/>
  <c r="BJ74" i="1"/>
  <c r="BI74" i="1"/>
  <c r="BH74" i="1"/>
  <c r="BC74" i="1"/>
  <c r="AZ74" i="1"/>
  <c r="AY74" i="1"/>
  <c r="AX74" i="1"/>
  <c r="AW74" i="1"/>
  <c r="AJ74" i="1"/>
  <c r="AI74" i="1"/>
  <c r="AF74" i="1"/>
  <c r="AB74" i="1"/>
  <c r="Y74" i="1"/>
  <c r="AU74" i="1" s="1"/>
  <c r="BJ73" i="1"/>
  <c r="BI73" i="1"/>
  <c r="BH73" i="1"/>
  <c r="BC73" i="1"/>
  <c r="BB73" i="1"/>
  <c r="BA73" i="1"/>
  <c r="AY73" i="1"/>
  <c r="AS73" i="1"/>
  <c r="AT73" i="1" s="1"/>
  <c r="AJ73" i="1"/>
  <c r="AI73" i="1"/>
  <c r="AF73" i="1"/>
  <c r="AV73" i="1" s="1"/>
  <c r="AB73" i="1"/>
  <c r="Y73" i="1"/>
  <c r="BI72" i="1"/>
  <c r="BH72" i="1"/>
  <c r="BE72" i="1"/>
  <c r="BC72" i="1"/>
  <c r="AW72" i="1"/>
  <c r="AV72" i="1"/>
  <c r="AK72" i="1"/>
  <c r="AJ72" i="1"/>
  <c r="AI72" i="1"/>
  <c r="AF72" i="1"/>
  <c r="AS72" i="1" s="1"/>
  <c r="AB72" i="1"/>
  <c r="BJ72" i="1" s="1"/>
  <c r="Y72" i="1"/>
  <c r="BI71" i="1"/>
  <c r="BH71" i="1"/>
  <c r="BC71" i="1"/>
  <c r="BA71" i="1"/>
  <c r="AJ71" i="1"/>
  <c r="AI71" i="1"/>
  <c r="AF71" i="1"/>
  <c r="AS71" i="1" s="1"/>
  <c r="AB71" i="1"/>
  <c r="BJ71" i="1" s="1"/>
  <c r="Y71" i="1"/>
  <c r="BI70" i="1"/>
  <c r="BH70" i="1"/>
  <c r="BC70" i="1"/>
  <c r="BB70" i="1"/>
  <c r="BA70" i="1"/>
  <c r="AU70" i="1"/>
  <c r="AT70" i="1"/>
  <c r="AS70" i="1"/>
  <c r="AJ70" i="1"/>
  <c r="AZ70" i="1" s="1"/>
  <c r="AI70" i="1"/>
  <c r="AF70" i="1"/>
  <c r="AB70" i="1"/>
  <c r="BJ70" i="1" s="1"/>
  <c r="Y70" i="1"/>
  <c r="BJ69" i="1"/>
  <c r="BI69" i="1"/>
  <c r="BH69" i="1"/>
  <c r="BC69" i="1"/>
  <c r="BB69" i="1"/>
  <c r="AT69" i="1"/>
  <c r="AS69" i="1"/>
  <c r="AJ69" i="1"/>
  <c r="AZ69" i="1" s="1"/>
  <c r="AI69" i="1"/>
  <c r="AY69" i="1" s="1"/>
  <c r="AF69" i="1"/>
  <c r="AB69" i="1"/>
  <c r="Y69" i="1"/>
  <c r="BI68" i="1"/>
  <c r="BH68" i="1"/>
  <c r="BC68" i="1"/>
  <c r="AS68" i="1"/>
  <c r="AJ68" i="1"/>
  <c r="AI68" i="1"/>
  <c r="AF68" i="1"/>
  <c r="AK68" i="1" s="1"/>
  <c r="AB68" i="1"/>
  <c r="BJ68" i="1" s="1"/>
  <c r="Y68" i="1"/>
  <c r="BI67" i="1"/>
  <c r="BH67" i="1"/>
  <c r="BC67" i="1"/>
  <c r="BA67" i="1"/>
  <c r="AY67" i="1"/>
  <c r="AX67" i="1"/>
  <c r="AW67" i="1"/>
  <c r="AU67" i="1"/>
  <c r="AJ67" i="1"/>
  <c r="AZ67" i="1" s="1"/>
  <c r="AI67" i="1"/>
  <c r="AF67" i="1"/>
  <c r="AB67" i="1"/>
  <c r="BJ67" i="1" s="1"/>
  <c r="Y67" i="1"/>
  <c r="BI66" i="1"/>
  <c r="BH66" i="1"/>
  <c r="BC66" i="1"/>
  <c r="BA66" i="1"/>
  <c r="AZ66" i="1"/>
  <c r="AY66" i="1"/>
  <c r="AT66" i="1"/>
  <c r="AS66" i="1"/>
  <c r="BB66" i="1" s="1"/>
  <c r="AJ66" i="1"/>
  <c r="AI66" i="1"/>
  <c r="AF66" i="1"/>
  <c r="AB66" i="1"/>
  <c r="BJ66" i="1" s="1"/>
  <c r="Y66" i="1"/>
  <c r="AX66" i="1" s="1"/>
  <c r="BJ65" i="1"/>
  <c r="BI65" i="1"/>
  <c r="BH65" i="1"/>
  <c r="BC65" i="1"/>
  <c r="AS65" i="1"/>
  <c r="BB65" i="1" s="1"/>
  <c r="AJ65" i="1"/>
  <c r="AZ65" i="1" s="1"/>
  <c r="AI65" i="1"/>
  <c r="AF65" i="1"/>
  <c r="AB65" i="1"/>
  <c r="Y65" i="1"/>
  <c r="BI64" i="1"/>
  <c r="BH64" i="1"/>
  <c r="BC64" i="1"/>
  <c r="AV64" i="1"/>
  <c r="AS64" i="1"/>
  <c r="AJ64" i="1"/>
  <c r="AI64" i="1"/>
  <c r="AF64" i="1"/>
  <c r="AB64" i="1"/>
  <c r="BJ64" i="1" s="1"/>
  <c r="Y64" i="1"/>
  <c r="BI63" i="1"/>
  <c r="BH63" i="1"/>
  <c r="BC63" i="1"/>
  <c r="BA63" i="1"/>
  <c r="AZ63" i="1"/>
  <c r="AJ63" i="1"/>
  <c r="AI63" i="1"/>
  <c r="AF63" i="1"/>
  <c r="AS63" i="1" s="1"/>
  <c r="AB63" i="1"/>
  <c r="BJ63" i="1" s="1"/>
  <c r="Y63" i="1"/>
  <c r="BI62" i="1"/>
  <c r="BH62" i="1"/>
  <c r="BC62" i="1"/>
  <c r="BA62" i="1"/>
  <c r="AZ62" i="1"/>
  <c r="AW62" i="1"/>
  <c r="AU62" i="1"/>
  <c r="AT62" i="1"/>
  <c r="AS62" i="1"/>
  <c r="BB62" i="1" s="1"/>
  <c r="AJ62" i="1"/>
  <c r="AI62" i="1"/>
  <c r="AY62" i="1" s="1"/>
  <c r="AF62" i="1"/>
  <c r="AB62" i="1"/>
  <c r="BJ62" i="1" s="1"/>
  <c r="Y62" i="1"/>
  <c r="AX62" i="1" s="1"/>
  <c r="BJ61" i="1"/>
  <c r="BI61" i="1"/>
  <c r="BH61" i="1"/>
  <c r="BC61" i="1"/>
  <c r="BA61" i="1"/>
  <c r="AX61" i="1"/>
  <c r="AW61" i="1"/>
  <c r="AU61" i="1"/>
  <c r="AJ61" i="1"/>
  <c r="AZ61" i="1" s="1"/>
  <c r="AI61" i="1"/>
  <c r="AY61" i="1" s="1"/>
  <c r="AF61" i="1"/>
  <c r="AB61" i="1"/>
  <c r="Y61" i="1"/>
  <c r="BI60" i="1"/>
  <c r="BH60" i="1"/>
  <c r="BC60" i="1"/>
  <c r="AW60" i="1"/>
  <c r="AV60" i="1"/>
  <c r="AU60" i="1"/>
  <c r="AK60" i="1"/>
  <c r="AJ60" i="1"/>
  <c r="AZ60" i="1" s="1"/>
  <c r="AI60" i="1"/>
  <c r="AF60" i="1"/>
  <c r="AS60" i="1" s="1"/>
  <c r="AB60" i="1"/>
  <c r="BJ60" i="1" s="1"/>
  <c r="Y60" i="1"/>
  <c r="BA60" i="1" s="1"/>
  <c r="BJ59" i="1"/>
  <c r="BI59" i="1"/>
  <c r="BH59" i="1"/>
  <c r="BC59" i="1"/>
  <c r="AJ59" i="1"/>
  <c r="AI59" i="1"/>
  <c r="AY59" i="1" s="1"/>
  <c r="AF59" i="1"/>
  <c r="AB59" i="1"/>
  <c r="Y59" i="1"/>
  <c r="BI58" i="1"/>
  <c r="BH58" i="1"/>
  <c r="BC58" i="1"/>
  <c r="BA58" i="1"/>
  <c r="AZ58" i="1"/>
  <c r="AY58" i="1"/>
  <c r="AV58" i="1"/>
  <c r="AK58" i="1"/>
  <c r="AJ58" i="1"/>
  <c r="AI58" i="1"/>
  <c r="AF58" i="1"/>
  <c r="AS58" i="1" s="1"/>
  <c r="AB58" i="1"/>
  <c r="BJ58" i="1" s="1"/>
  <c r="Y58" i="1"/>
  <c r="BJ57" i="1"/>
  <c r="BI57" i="1"/>
  <c r="BH57" i="1"/>
  <c r="BC57" i="1"/>
  <c r="BA57" i="1"/>
  <c r="AX57" i="1"/>
  <c r="AW57" i="1"/>
  <c r="AU57" i="1"/>
  <c r="AS57" i="1"/>
  <c r="BB57" i="1" s="1"/>
  <c r="AJ57" i="1"/>
  <c r="AZ57" i="1" s="1"/>
  <c r="AI57" i="1"/>
  <c r="AY57" i="1" s="1"/>
  <c r="AF57" i="1"/>
  <c r="AB57" i="1"/>
  <c r="Y57" i="1"/>
  <c r="BI56" i="1"/>
  <c r="BH56" i="1"/>
  <c r="BC56" i="1"/>
  <c r="AZ56" i="1"/>
  <c r="AW56" i="1"/>
  <c r="AK56" i="1"/>
  <c r="AJ56" i="1"/>
  <c r="AI56" i="1"/>
  <c r="AF56" i="1"/>
  <c r="AS56" i="1" s="1"/>
  <c r="AB56" i="1"/>
  <c r="BJ56" i="1" s="1"/>
  <c r="Y56" i="1"/>
  <c r="BJ55" i="1"/>
  <c r="BI55" i="1"/>
  <c r="BH55" i="1"/>
  <c r="BC55" i="1"/>
  <c r="BB55" i="1"/>
  <c r="BA55" i="1"/>
  <c r="AY55" i="1"/>
  <c r="AX55" i="1"/>
  <c r="AS55" i="1"/>
  <c r="AT55" i="1" s="1"/>
  <c r="AJ55" i="1"/>
  <c r="AI55" i="1"/>
  <c r="AF55" i="1"/>
  <c r="AB55" i="1"/>
  <c r="Y55" i="1"/>
  <c r="BI54" i="1"/>
  <c r="BH54" i="1"/>
  <c r="BC54" i="1"/>
  <c r="BA54" i="1"/>
  <c r="AY54" i="1"/>
  <c r="AJ54" i="1"/>
  <c r="AZ54" i="1" s="1"/>
  <c r="AI54" i="1"/>
  <c r="AF54" i="1"/>
  <c r="AS54" i="1" s="1"/>
  <c r="AB54" i="1"/>
  <c r="BJ54" i="1" s="1"/>
  <c r="Y54" i="1"/>
  <c r="BJ53" i="1"/>
  <c r="BI53" i="1"/>
  <c r="BH53" i="1"/>
  <c r="BC53" i="1"/>
  <c r="BA53" i="1"/>
  <c r="AX53" i="1"/>
  <c r="AW53" i="1"/>
  <c r="AU53" i="1"/>
  <c r="AJ53" i="1"/>
  <c r="AZ53" i="1" s="1"/>
  <c r="AI53" i="1"/>
  <c r="AY53" i="1" s="1"/>
  <c r="AF53" i="1"/>
  <c r="AB53" i="1"/>
  <c r="Y53" i="1"/>
  <c r="BI52" i="1"/>
  <c r="BH52" i="1"/>
  <c r="BC52" i="1"/>
  <c r="AY52" i="1"/>
  <c r="AW52" i="1"/>
  <c r="AV52" i="1"/>
  <c r="AJ52" i="1"/>
  <c r="AZ52" i="1" s="1"/>
  <c r="AI52" i="1"/>
  <c r="AF52" i="1"/>
  <c r="AS52" i="1" s="1"/>
  <c r="AB52" i="1"/>
  <c r="BJ52" i="1" s="1"/>
  <c r="Y52" i="1"/>
  <c r="BJ51" i="1"/>
  <c r="BI51" i="1"/>
  <c r="BH51" i="1"/>
  <c r="BC51" i="1"/>
  <c r="BB51" i="1"/>
  <c r="BA51" i="1"/>
  <c r="AY51" i="1"/>
  <c r="AX51" i="1"/>
  <c r="AS51" i="1"/>
  <c r="AT51" i="1" s="1"/>
  <c r="AJ51" i="1"/>
  <c r="AI51" i="1"/>
  <c r="AF51" i="1"/>
  <c r="AB51" i="1"/>
  <c r="Y51" i="1"/>
  <c r="BI50" i="1"/>
  <c r="BH50" i="1"/>
  <c r="BC50" i="1"/>
  <c r="BA50" i="1"/>
  <c r="AZ50" i="1"/>
  <c r="AY50" i="1"/>
  <c r="AJ50" i="1"/>
  <c r="AI50" i="1"/>
  <c r="AF50" i="1"/>
  <c r="AS50" i="1" s="1"/>
  <c r="AB50" i="1"/>
  <c r="BJ50" i="1" s="1"/>
  <c r="Y50" i="1"/>
  <c r="BJ49" i="1"/>
  <c r="BI49" i="1"/>
  <c r="BH49" i="1"/>
  <c r="BC49" i="1"/>
  <c r="BA49" i="1"/>
  <c r="AX49" i="1"/>
  <c r="AW49" i="1"/>
  <c r="AU49" i="1"/>
  <c r="AJ49" i="1"/>
  <c r="AZ49" i="1" s="1"/>
  <c r="AI49" i="1"/>
  <c r="AY49" i="1" s="1"/>
  <c r="AF49" i="1"/>
  <c r="AB49" i="1"/>
  <c r="Y49" i="1"/>
  <c r="BI48" i="1"/>
  <c r="BH48" i="1"/>
  <c r="BC48" i="1"/>
  <c r="AK48" i="1"/>
  <c r="BE48" i="1" s="1"/>
  <c r="AJ48" i="1"/>
  <c r="AZ48" i="1" s="1"/>
  <c r="AI48" i="1"/>
  <c r="AF48" i="1"/>
  <c r="AS48" i="1" s="1"/>
  <c r="AB48" i="1"/>
  <c r="BJ48" i="1" s="1"/>
  <c r="Y48" i="1"/>
  <c r="BI47" i="1"/>
  <c r="BH47" i="1"/>
  <c r="BC47" i="1"/>
  <c r="AJ47" i="1"/>
  <c r="AI47" i="1"/>
  <c r="AY47" i="1" s="1"/>
  <c r="AF47" i="1"/>
  <c r="AS47" i="1" s="1"/>
  <c r="AB47" i="1"/>
  <c r="BJ47" i="1" s="1"/>
  <c r="Y47" i="1"/>
  <c r="BJ46" i="1"/>
  <c r="BI46" i="1"/>
  <c r="BH46" i="1"/>
  <c r="BC46" i="1"/>
  <c r="BA46" i="1"/>
  <c r="AY46" i="1"/>
  <c r="AV46" i="1"/>
  <c r="AU46" i="1"/>
  <c r="AJ46" i="1"/>
  <c r="AZ46" i="1" s="1"/>
  <c r="AI46" i="1"/>
  <c r="AF46" i="1"/>
  <c r="AS46" i="1" s="1"/>
  <c r="AB46" i="1"/>
  <c r="Y46" i="1"/>
  <c r="BJ45" i="1"/>
  <c r="BI45" i="1"/>
  <c r="BH45" i="1"/>
  <c r="BC45" i="1"/>
  <c r="BB45" i="1"/>
  <c r="BA45" i="1"/>
  <c r="BD45" i="1" s="1"/>
  <c r="AX45" i="1"/>
  <c r="AW45" i="1"/>
  <c r="AU45" i="1"/>
  <c r="AT45" i="1"/>
  <c r="AS45" i="1"/>
  <c r="AK45" i="1"/>
  <c r="AJ45" i="1"/>
  <c r="AZ45" i="1" s="1"/>
  <c r="AI45" i="1"/>
  <c r="AY45" i="1" s="1"/>
  <c r="AF45" i="1"/>
  <c r="AV45" i="1" s="1"/>
  <c r="AB45" i="1"/>
  <c r="Y45" i="1"/>
  <c r="BI44" i="1"/>
  <c r="BH44" i="1"/>
  <c r="BC44" i="1"/>
  <c r="AY44" i="1"/>
  <c r="AX44" i="1"/>
  <c r="AW44" i="1"/>
  <c r="AV44" i="1"/>
  <c r="AU44" i="1"/>
  <c r="AJ44" i="1"/>
  <c r="AZ44" i="1" s="1"/>
  <c r="AI44" i="1"/>
  <c r="AF44" i="1"/>
  <c r="AS44" i="1" s="1"/>
  <c r="AB44" i="1"/>
  <c r="BJ44" i="1" s="1"/>
  <c r="Y44" i="1"/>
  <c r="BA44" i="1" s="1"/>
  <c r="BI43" i="1"/>
  <c r="BH43" i="1"/>
  <c r="BC43" i="1"/>
  <c r="AS43" i="1"/>
  <c r="BB43" i="1" s="1"/>
  <c r="AJ43" i="1"/>
  <c r="AI43" i="1"/>
  <c r="AF43" i="1"/>
  <c r="AB43" i="1"/>
  <c r="BJ43" i="1" s="1"/>
  <c r="Y43" i="1"/>
  <c r="BI42" i="1"/>
  <c r="BH42" i="1"/>
  <c r="BC42" i="1"/>
  <c r="AU42" i="1"/>
  <c r="AJ42" i="1"/>
  <c r="AI42" i="1"/>
  <c r="AF42" i="1"/>
  <c r="AK42" i="1" s="1"/>
  <c r="AB42" i="1"/>
  <c r="BJ42" i="1" s="1"/>
  <c r="Y42" i="1"/>
  <c r="AY42" i="1" s="1"/>
  <c r="BJ41" i="1"/>
  <c r="BI41" i="1"/>
  <c r="BH41" i="1"/>
  <c r="BC41" i="1"/>
  <c r="BB41" i="1"/>
  <c r="BA41" i="1"/>
  <c r="AX41" i="1"/>
  <c r="AW41" i="1"/>
  <c r="AV41" i="1"/>
  <c r="AU41" i="1"/>
  <c r="AS41" i="1"/>
  <c r="AT41" i="1" s="1"/>
  <c r="AJ41" i="1"/>
  <c r="AZ41" i="1" s="1"/>
  <c r="AI41" i="1"/>
  <c r="AY41" i="1" s="1"/>
  <c r="AF41" i="1"/>
  <c r="AB41" i="1"/>
  <c r="Y41" i="1"/>
  <c r="BI40" i="1"/>
  <c r="BH40" i="1"/>
  <c r="BC40" i="1"/>
  <c r="AW40" i="1"/>
  <c r="AU40" i="1"/>
  <c r="AJ40" i="1"/>
  <c r="AI40" i="1"/>
  <c r="AF40" i="1"/>
  <c r="AS40" i="1" s="1"/>
  <c r="AB40" i="1"/>
  <c r="BJ40" i="1" s="1"/>
  <c r="Y40" i="1"/>
  <c r="BJ39" i="1"/>
  <c r="BI39" i="1"/>
  <c r="BH39" i="1"/>
  <c r="BC39" i="1"/>
  <c r="BB39" i="1"/>
  <c r="AS39" i="1"/>
  <c r="AT39" i="1" s="1"/>
  <c r="AJ39" i="1"/>
  <c r="AI39" i="1"/>
  <c r="AF39" i="1"/>
  <c r="AB39" i="1"/>
  <c r="Y39" i="1"/>
  <c r="AZ39" i="1" s="1"/>
  <c r="BI38" i="1"/>
  <c r="BH38" i="1"/>
  <c r="BC38" i="1"/>
  <c r="AW38" i="1"/>
  <c r="AU38" i="1"/>
  <c r="AS38" i="1"/>
  <c r="BB38" i="1" s="1"/>
  <c r="AJ38" i="1"/>
  <c r="AZ38" i="1" s="1"/>
  <c r="AI38" i="1"/>
  <c r="AY38" i="1" s="1"/>
  <c r="AF38" i="1"/>
  <c r="AV38" i="1" s="1"/>
  <c r="AB38" i="1"/>
  <c r="BJ38" i="1" s="1"/>
  <c r="Y38" i="1"/>
  <c r="AX38" i="1" s="1"/>
  <c r="BJ37" i="1"/>
  <c r="BI37" i="1"/>
  <c r="BH37" i="1"/>
  <c r="BC37" i="1"/>
  <c r="BA37" i="1"/>
  <c r="AV37" i="1"/>
  <c r="AJ37" i="1"/>
  <c r="AZ37" i="1" s="1"/>
  <c r="AI37" i="1"/>
  <c r="AY37" i="1" s="1"/>
  <c r="AF37" i="1"/>
  <c r="AK37" i="1" s="1"/>
  <c r="BE37" i="1" s="1"/>
  <c r="AB37" i="1"/>
  <c r="Y37" i="1"/>
  <c r="BI36" i="1"/>
  <c r="BH36" i="1"/>
  <c r="BC36" i="1"/>
  <c r="AS36" i="1"/>
  <c r="AJ36" i="1"/>
  <c r="AI36" i="1"/>
  <c r="AF36" i="1"/>
  <c r="AB36" i="1"/>
  <c r="BJ36" i="1" s="1"/>
  <c r="Y36" i="1"/>
  <c r="BJ35" i="1"/>
  <c r="BI35" i="1"/>
  <c r="BH35" i="1"/>
  <c r="BC35" i="1"/>
  <c r="BB35" i="1"/>
  <c r="BA35" i="1"/>
  <c r="AZ35" i="1"/>
  <c r="AY35" i="1"/>
  <c r="AS35" i="1"/>
  <c r="AT35" i="1" s="1"/>
  <c r="AJ35" i="1"/>
  <c r="AI35" i="1"/>
  <c r="AF35" i="1"/>
  <c r="AB35" i="1"/>
  <c r="Y35" i="1"/>
  <c r="BJ34" i="1"/>
  <c r="BI34" i="1"/>
  <c r="BH34" i="1"/>
  <c r="BC34" i="1"/>
  <c r="AW34" i="1"/>
  <c r="AV34" i="1"/>
  <c r="AU34" i="1"/>
  <c r="AS34" i="1"/>
  <c r="AT34" i="1" s="1"/>
  <c r="AJ34" i="1"/>
  <c r="AZ34" i="1" s="1"/>
  <c r="AI34" i="1"/>
  <c r="AK34" i="1" s="1"/>
  <c r="AF34" i="1"/>
  <c r="AB34" i="1"/>
  <c r="Y34" i="1"/>
  <c r="AX34" i="1" s="1"/>
  <c r="BJ33" i="1"/>
  <c r="BI33" i="1"/>
  <c r="BH33" i="1"/>
  <c r="BC33" i="1"/>
  <c r="AX33" i="1"/>
  <c r="AW33" i="1"/>
  <c r="AU33" i="1"/>
  <c r="AT33" i="1"/>
  <c r="AJ33" i="1"/>
  <c r="AZ33" i="1" s="1"/>
  <c r="AI33" i="1"/>
  <c r="AY33" i="1" s="1"/>
  <c r="AF33" i="1"/>
  <c r="AS33" i="1" s="1"/>
  <c r="BB33" i="1" s="1"/>
  <c r="AB33" i="1"/>
  <c r="Y33" i="1"/>
  <c r="BA33" i="1" s="1"/>
  <c r="BI32" i="1"/>
  <c r="BH32" i="1"/>
  <c r="BC32" i="1"/>
  <c r="BA32" i="1"/>
  <c r="AX32" i="1"/>
  <c r="AW32" i="1"/>
  <c r="AU32" i="1"/>
  <c r="AS32" i="1"/>
  <c r="AJ32" i="1"/>
  <c r="AZ32" i="1" s="1"/>
  <c r="AI32" i="1"/>
  <c r="AY32" i="1" s="1"/>
  <c r="AF32" i="1"/>
  <c r="AV32" i="1" s="1"/>
  <c r="AB32" i="1"/>
  <c r="BJ32" i="1" s="1"/>
  <c r="Y32" i="1"/>
  <c r="BJ31" i="1"/>
  <c r="BI31" i="1"/>
  <c r="BH31" i="1"/>
  <c r="BC31" i="1"/>
  <c r="BB31" i="1"/>
  <c r="BD31" i="1" s="1"/>
  <c r="AX31" i="1"/>
  <c r="AW31" i="1"/>
  <c r="AV31" i="1"/>
  <c r="AU31" i="1"/>
  <c r="AT31" i="1"/>
  <c r="AK31" i="1"/>
  <c r="AJ31" i="1"/>
  <c r="AZ31" i="1" s="1"/>
  <c r="AI31" i="1"/>
  <c r="AY31" i="1" s="1"/>
  <c r="AF31" i="1"/>
  <c r="AS31" i="1" s="1"/>
  <c r="AB31" i="1"/>
  <c r="Y31" i="1"/>
  <c r="BA31" i="1" s="1"/>
  <c r="BI30" i="1"/>
  <c r="BH30" i="1"/>
  <c r="BC30" i="1"/>
  <c r="AN30" i="1"/>
  <c r="AP30" i="1" s="1"/>
  <c r="AQ30" i="1" s="1"/>
  <c r="AR30" i="1" s="1"/>
  <c r="AK30" i="1"/>
  <c r="AJ30" i="1"/>
  <c r="AI30" i="1"/>
  <c r="AF30" i="1"/>
  <c r="AS30" i="1" s="1"/>
  <c r="AB30" i="1"/>
  <c r="BJ30" i="1" s="1"/>
  <c r="Y30" i="1"/>
  <c r="BI29" i="1"/>
  <c r="BH29" i="1"/>
  <c r="BC29" i="1"/>
  <c r="AS29" i="1"/>
  <c r="BB29" i="1" s="1"/>
  <c r="AJ29" i="1"/>
  <c r="AI29" i="1"/>
  <c r="AY29" i="1" s="1"/>
  <c r="AF29" i="1"/>
  <c r="AB29" i="1"/>
  <c r="BJ29" i="1" s="1"/>
  <c r="Y29" i="1"/>
  <c r="BI28" i="1"/>
  <c r="BH28" i="1"/>
  <c r="BC28" i="1"/>
  <c r="BA28" i="1"/>
  <c r="AX28" i="1"/>
  <c r="AW28" i="1"/>
  <c r="AU28" i="1"/>
  <c r="AJ28" i="1"/>
  <c r="AZ28" i="1" s="1"/>
  <c r="AI28" i="1"/>
  <c r="AY28" i="1" s="1"/>
  <c r="AF28" i="1"/>
  <c r="AS28" i="1" s="1"/>
  <c r="AB28" i="1"/>
  <c r="BJ28" i="1" s="1"/>
  <c r="Y28" i="1"/>
  <c r="BJ27" i="1"/>
  <c r="BI27" i="1"/>
  <c r="BH27" i="1"/>
  <c r="BC27" i="1"/>
  <c r="AX27" i="1"/>
  <c r="AW27" i="1"/>
  <c r="AV27" i="1"/>
  <c r="AU27" i="1"/>
  <c r="AJ27" i="1"/>
  <c r="AZ27" i="1" s="1"/>
  <c r="AI27" i="1"/>
  <c r="AY27" i="1" s="1"/>
  <c r="AF27" i="1"/>
  <c r="AS27" i="1" s="1"/>
  <c r="AT27" i="1" s="1"/>
  <c r="AB27" i="1"/>
  <c r="Y27" i="1"/>
  <c r="BA27" i="1" s="1"/>
  <c r="BI26" i="1"/>
  <c r="BH26" i="1"/>
  <c r="BC26" i="1"/>
  <c r="AZ26" i="1"/>
  <c r="AY26" i="1"/>
  <c r="AX26" i="1"/>
  <c r="AK26" i="1"/>
  <c r="AN26" i="1" s="1"/>
  <c r="AJ26" i="1"/>
  <c r="AI26" i="1"/>
  <c r="AF26" i="1"/>
  <c r="AS26" i="1" s="1"/>
  <c r="AB26" i="1"/>
  <c r="BJ26" i="1" s="1"/>
  <c r="Y26" i="1"/>
  <c r="BJ25" i="1"/>
  <c r="BI25" i="1"/>
  <c r="BH25" i="1"/>
  <c r="BC25" i="1"/>
  <c r="BB25" i="1"/>
  <c r="BA25" i="1"/>
  <c r="AZ25" i="1"/>
  <c r="AS25" i="1"/>
  <c r="AT25" i="1" s="1"/>
  <c r="AJ25" i="1"/>
  <c r="AI25" i="1"/>
  <c r="AY25" i="1" s="1"/>
  <c r="AF25" i="1"/>
  <c r="AB25" i="1"/>
  <c r="Y25" i="1"/>
  <c r="BJ24" i="1"/>
  <c r="BI24" i="1"/>
  <c r="BH24" i="1"/>
  <c r="BC24" i="1"/>
  <c r="BA24" i="1"/>
  <c r="AX24" i="1"/>
  <c r="AW24" i="1"/>
  <c r="AU24" i="1"/>
  <c r="AS24" i="1"/>
  <c r="AT24" i="1" s="1"/>
  <c r="AJ24" i="1"/>
  <c r="AZ24" i="1" s="1"/>
  <c r="AI24" i="1"/>
  <c r="AY24" i="1" s="1"/>
  <c r="AF24" i="1"/>
  <c r="AV24" i="1" s="1"/>
  <c r="AB24" i="1"/>
  <c r="Y24" i="1"/>
  <c r="BJ23" i="1"/>
  <c r="BI23" i="1"/>
  <c r="BH23" i="1"/>
  <c r="BC23" i="1"/>
  <c r="BB23" i="1"/>
  <c r="BD23" i="1" s="1"/>
  <c r="AX23" i="1"/>
  <c r="AW23" i="1"/>
  <c r="AV23" i="1"/>
  <c r="AU23" i="1"/>
  <c r="AT23" i="1"/>
  <c r="AK23" i="1"/>
  <c r="BN23" i="1" s="1"/>
  <c r="AJ23" i="1"/>
  <c r="AZ23" i="1" s="1"/>
  <c r="AI23" i="1"/>
  <c r="AY23" i="1" s="1"/>
  <c r="AF23" i="1"/>
  <c r="AS23" i="1" s="1"/>
  <c r="AB23" i="1"/>
  <c r="Y23" i="1"/>
  <c r="BA23" i="1" s="1"/>
  <c r="BI22" i="1"/>
  <c r="BH22" i="1"/>
  <c r="BC22" i="1"/>
  <c r="AN22" i="1"/>
  <c r="AP22" i="1" s="1"/>
  <c r="AQ22" i="1" s="1"/>
  <c r="AR22" i="1" s="1"/>
  <c r="AK22" i="1"/>
  <c r="AJ22" i="1"/>
  <c r="AI22" i="1"/>
  <c r="AF22" i="1"/>
  <c r="AS22" i="1" s="1"/>
  <c r="AB22" i="1"/>
  <c r="BJ22" i="1" s="1"/>
  <c r="Y22" i="1"/>
  <c r="BI21" i="1"/>
  <c r="BH21" i="1"/>
  <c r="BC21" i="1"/>
  <c r="AS21" i="1"/>
  <c r="BB21" i="1" s="1"/>
  <c r="AJ21" i="1"/>
  <c r="AI21" i="1"/>
  <c r="AY21" i="1" s="1"/>
  <c r="AF21" i="1"/>
  <c r="AB21" i="1"/>
  <c r="BJ21" i="1" s="1"/>
  <c r="Y21" i="1"/>
  <c r="BI20" i="1"/>
  <c r="BH20" i="1"/>
  <c r="BC20" i="1"/>
  <c r="BA20" i="1"/>
  <c r="AX20" i="1"/>
  <c r="AW20" i="1"/>
  <c r="AU20" i="1"/>
  <c r="AJ20" i="1"/>
  <c r="AZ20" i="1" s="1"/>
  <c r="AI20" i="1"/>
  <c r="AY20" i="1" s="1"/>
  <c r="AF20" i="1"/>
  <c r="AS20" i="1" s="1"/>
  <c r="AB20" i="1"/>
  <c r="BJ20" i="1" s="1"/>
  <c r="Y20" i="1"/>
  <c r="BJ19" i="1"/>
  <c r="BI19" i="1"/>
  <c r="BH19" i="1"/>
  <c r="BC19" i="1"/>
  <c r="AX19" i="1"/>
  <c r="AW19" i="1"/>
  <c r="AV19" i="1"/>
  <c r="AU19" i="1"/>
  <c r="AJ19" i="1"/>
  <c r="AZ19" i="1" s="1"/>
  <c r="AI19" i="1"/>
  <c r="AY19" i="1" s="1"/>
  <c r="AF19" i="1"/>
  <c r="AS19" i="1" s="1"/>
  <c r="AT19" i="1" s="1"/>
  <c r="AB19" i="1"/>
  <c r="Y19" i="1"/>
  <c r="BA19" i="1" s="1"/>
  <c r="BI18" i="1"/>
  <c r="BH18" i="1"/>
  <c r="BC18" i="1"/>
  <c r="AZ18" i="1"/>
  <c r="AY18" i="1"/>
  <c r="AX18" i="1"/>
  <c r="AK18" i="1"/>
  <c r="AN18" i="1" s="1"/>
  <c r="AJ18" i="1"/>
  <c r="AI18" i="1"/>
  <c r="AF18" i="1"/>
  <c r="AS18" i="1" s="1"/>
  <c r="AB18" i="1"/>
  <c r="BJ18" i="1" s="1"/>
  <c r="Y18" i="1"/>
  <c r="BJ17" i="1"/>
  <c r="BI17" i="1"/>
  <c r="BH17" i="1"/>
  <c r="BC17" i="1"/>
  <c r="BB17" i="1"/>
  <c r="BA17" i="1"/>
  <c r="AZ17" i="1"/>
  <c r="AS17" i="1"/>
  <c r="AT17" i="1" s="1"/>
  <c r="AJ17" i="1"/>
  <c r="AI17" i="1"/>
  <c r="AY17" i="1" s="1"/>
  <c r="AF17" i="1"/>
  <c r="AB17" i="1"/>
  <c r="Y17" i="1"/>
  <c r="AX17" i="1" s="1"/>
  <c r="BJ16" i="1"/>
  <c r="BI16" i="1"/>
  <c r="BH16" i="1"/>
  <c r="BC16" i="1"/>
  <c r="BA16" i="1"/>
  <c r="AX16" i="1"/>
  <c r="AW16" i="1"/>
  <c r="AU16" i="1"/>
  <c r="AS16" i="1"/>
  <c r="AT16" i="1" s="1"/>
  <c r="AJ16" i="1"/>
  <c r="AZ16" i="1" s="1"/>
  <c r="AI16" i="1"/>
  <c r="AY16" i="1" s="1"/>
  <c r="AF16" i="1"/>
  <c r="AV16" i="1" s="1"/>
  <c r="AB16" i="1"/>
  <c r="Y16" i="1"/>
  <c r="BJ15" i="1"/>
  <c r="BI15" i="1"/>
  <c r="BH15" i="1"/>
  <c r="BC15" i="1"/>
  <c r="BB15" i="1"/>
  <c r="BD15" i="1" s="1"/>
  <c r="AX15" i="1"/>
  <c r="AW15" i="1"/>
  <c r="AV15" i="1"/>
  <c r="AU15" i="1"/>
  <c r="AT15" i="1"/>
  <c r="AK15" i="1"/>
  <c r="BE15" i="1" s="1"/>
  <c r="AJ15" i="1"/>
  <c r="AZ15" i="1" s="1"/>
  <c r="AI15" i="1"/>
  <c r="AY15" i="1" s="1"/>
  <c r="AF15" i="1"/>
  <c r="AS15" i="1" s="1"/>
  <c r="AB15" i="1"/>
  <c r="Y15" i="1"/>
  <c r="BA15" i="1" s="1"/>
  <c r="BI14" i="1"/>
  <c r="BH14" i="1"/>
  <c r="BC14" i="1"/>
  <c r="AQ14" i="1"/>
  <c r="AR14" i="1" s="1"/>
  <c r="AP14" i="1"/>
  <c r="AN14" i="1"/>
  <c r="AK14" i="1"/>
  <c r="AJ14" i="1"/>
  <c r="AI14" i="1"/>
  <c r="AF14" i="1"/>
  <c r="AS14" i="1" s="1"/>
  <c r="AB14" i="1"/>
  <c r="BJ14" i="1" s="1"/>
  <c r="Y14" i="1"/>
  <c r="AY14" i="1" s="1"/>
  <c r="BI13" i="1"/>
  <c r="BH13" i="1"/>
  <c r="BC13" i="1"/>
  <c r="AS13" i="1"/>
  <c r="BB13" i="1" s="1"/>
  <c r="AJ13" i="1"/>
  <c r="AI13" i="1"/>
  <c r="AY13" i="1" s="1"/>
  <c r="AF13" i="1"/>
  <c r="AB13" i="1"/>
  <c r="BJ13" i="1" s="1"/>
  <c r="Y13" i="1"/>
  <c r="BA13" i="1" s="1"/>
  <c r="BI12" i="1"/>
  <c r="BH12" i="1"/>
  <c r="BC12" i="1"/>
  <c r="BA12" i="1"/>
  <c r="AX12" i="1"/>
  <c r="AW12" i="1"/>
  <c r="AU12" i="1"/>
  <c r="AJ12" i="1"/>
  <c r="AZ12" i="1" s="1"/>
  <c r="AI12" i="1"/>
  <c r="AY12" i="1" s="1"/>
  <c r="AF12" i="1"/>
  <c r="AS12" i="1" s="1"/>
  <c r="AB12" i="1"/>
  <c r="BJ12" i="1" s="1"/>
  <c r="Y12" i="1"/>
  <c r="BJ11" i="1"/>
  <c r="BI11" i="1"/>
  <c r="BH11" i="1"/>
  <c r="BC11" i="1"/>
  <c r="AX11" i="1"/>
  <c r="AW11" i="1"/>
  <c r="AV11" i="1"/>
  <c r="AU11" i="1"/>
  <c r="AJ11" i="1"/>
  <c r="AZ11" i="1" s="1"/>
  <c r="AI11" i="1"/>
  <c r="AY11" i="1" s="1"/>
  <c r="AF11" i="1"/>
  <c r="AS11" i="1" s="1"/>
  <c r="AT11" i="1" s="1"/>
  <c r="AB11" i="1"/>
  <c r="Y11" i="1"/>
  <c r="BA11" i="1" s="1"/>
  <c r="BI10" i="1"/>
  <c r="BH10" i="1"/>
  <c r="BC10" i="1"/>
  <c r="AZ10" i="1"/>
  <c r="AY10" i="1"/>
  <c r="AX10" i="1"/>
  <c r="AK10" i="1"/>
  <c r="AJ10" i="1"/>
  <c r="AI10" i="1"/>
  <c r="AF10" i="1"/>
  <c r="AS10" i="1" s="1"/>
  <c r="AB10" i="1"/>
  <c r="BJ10" i="1" s="1"/>
  <c r="Y10" i="1"/>
  <c r="AV10" i="1" s="1"/>
  <c r="BJ9" i="1"/>
  <c r="BI9" i="1"/>
  <c r="BH9" i="1"/>
  <c r="BC9" i="1"/>
  <c r="BB9" i="1"/>
  <c r="BA9" i="1"/>
  <c r="AS9" i="1"/>
  <c r="AT9" i="1" s="1"/>
  <c r="AJ9" i="1"/>
  <c r="AI9" i="1"/>
  <c r="AF9" i="1"/>
  <c r="AB9" i="1"/>
  <c r="Y9" i="1"/>
  <c r="BE34" i="1" l="1"/>
  <c r="AN34" i="1"/>
  <c r="AP34" i="1" s="1"/>
  <c r="BN34" i="1"/>
  <c r="AT47" i="1"/>
  <c r="BB47" i="1"/>
  <c r="BB20" i="1"/>
  <c r="AT20" i="1"/>
  <c r="BG15" i="1"/>
  <c r="BO15" i="1"/>
  <c r="BF15" i="1"/>
  <c r="BM15" i="1" s="1"/>
  <c r="BG23" i="1"/>
  <c r="BO23" i="1"/>
  <c r="BF23" i="1"/>
  <c r="BM23" i="1" s="1"/>
  <c r="BB12" i="1"/>
  <c r="AT12" i="1"/>
  <c r="BD24" i="1"/>
  <c r="BB28" i="1"/>
  <c r="AT28" i="1"/>
  <c r="BG31" i="1"/>
  <c r="BF31" i="1"/>
  <c r="BM31" i="1" s="1"/>
  <c r="BO31" i="1"/>
  <c r="BD38" i="1"/>
  <c r="BS45" i="1"/>
  <c r="BG45" i="1"/>
  <c r="BF45" i="1"/>
  <c r="BM45" i="1" s="1"/>
  <c r="BO45" i="1"/>
  <c r="AW21" i="1"/>
  <c r="AU21" i="1"/>
  <c r="AU22" i="1"/>
  <c r="BA22" i="1"/>
  <c r="AU30" i="1"/>
  <c r="BA30" i="1"/>
  <c r="AQ31" i="1"/>
  <c r="AR31" i="1" s="1"/>
  <c r="AV49" i="1"/>
  <c r="AK49" i="1"/>
  <c r="AS49" i="1"/>
  <c r="BB68" i="1"/>
  <c r="AT68" i="1"/>
  <c r="Y118" i="1"/>
  <c r="AW9" i="1"/>
  <c r="AU9" i="1"/>
  <c r="AT21" i="1"/>
  <c r="AY34" i="1"/>
  <c r="AK38" i="1"/>
  <c r="AY68" i="1"/>
  <c r="AX68" i="1"/>
  <c r="AV68" i="1"/>
  <c r="AU68" i="1"/>
  <c r="BN68" i="1"/>
  <c r="BA68" i="1"/>
  <c r="AV14" i="1"/>
  <c r="BN15" i="1"/>
  <c r="BR15" i="1" s="1"/>
  <c r="AX21" i="1"/>
  <c r="AV29" i="1"/>
  <c r="AK29" i="1"/>
  <c r="AP31" i="1"/>
  <c r="AK41" i="1"/>
  <c r="AQ104" i="1"/>
  <c r="AR104" i="1" s="1"/>
  <c r="AP104" i="1"/>
  <c r="AW22" i="1"/>
  <c r="BB24" i="1"/>
  <c r="AP26" i="1"/>
  <c r="AQ26" i="1" s="1"/>
  <c r="AR26" i="1" s="1"/>
  <c r="BN26" i="1"/>
  <c r="AW30" i="1"/>
  <c r="BE31" i="1"/>
  <c r="BB32" i="1"/>
  <c r="BD32" i="1" s="1"/>
  <c r="AT32" i="1"/>
  <c r="AX36" i="1"/>
  <c r="AW36" i="1"/>
  <c r="BB36" i="1"/>
  <c r="AT36" i="1"/>
  <c r="BN37" i="1"/>
  <c r="AT38" i="1"/>
  <c r="AZ40" i="1"/>
  <c r="AK40" i="1"/>
  <c r="AU43" i="1"/>
  <c r="AX43" i="1"/>
  <c r="AW43" i="1"/>
  <c r="AN45" i="1"/>
  <c r="AP45" i="1" s="1"/>
  <c r="AQ45" i="1" s="1"/>
  <c r="AR45" i="1" s="1"/>
  <c r="BN45" i="1"/>
  <c r="BR45" i="1" s="1"/>
  <c r="BA48" i="1"/>
  <c r="AV48" i="1"/>
  <c r="AU48" i="1"/>
  <c r="AK54" i="1"/>
  <c r="AT57" i="1"/>
  <c r="BJ118" i="1"/>
  <c r="AW29" i="1"/>
  <c r="AU29" i="1"/>
  <c r="AK24" i="1"/>
  <c r="BE30" i="1"/>
  <c r="AK32" i="1"/>
  <c r="AK46" i="1"/>
  <c r="AW68" i="1"/>
  <c r="AX13" i="1"/>
  <c r="BB22" i="1"/>
  <c r="AT22" i="1"/>
  <c r="BB30" i="1"/>
  <c r="AT30" i="1"/>
  <c r="AP58" i="1"/>
  <c r="BN58" i="1"/>
  <c r="BE58" i="1"/>
  <c r="AN58" i="1"/>
  <c r="AQ58" i="1"/>
  <c r="AR58" i="1" s="1"/>
  <c r="AY63" i="1"/>
  <c r="AX63" i="1"/>
  <c r="AU63" i="1"/>
  <c r="AF118" i="1"/>
  <c r="BB16" i="1"/>
  <c r="BD16" i="1" s="1"/>
  <c r="AP18" i="1"/>
  <c r="AQ18" i="1" s="1"/>
  <c r="AR18" i="1" s="1"/>
  <c r="BN18" i="1"/>
  <c r="BE23" i="1"/>
  <c r="AZ13" i="1"/>
  <c r="AU18" i="1"/>
  <c r="BA18" i="1"/>
  <c r="AZ21" i="1"/>
  <c r="AW25" i="1"/>
  <c r="AU25" i="1"/>
  <c r="AU26" i="1"/>
  <c r="BA26" i="1"/>
  <c r="AK27" i="1"/>
  <c r="AZ29" i="1"/>
  <c r="AX30" i="1"/>
  <c r="AU36" i="1"/>
  <c r="AX39" i="1"/>
  <c r="AP42" i="1"/>
  <c r="AQ42" i="1" s="1"/>
  <c r="AR42" i="1" s="1"/>
  <c r="BN42" i="1"/>
  <c r="BE42" i="1"/>
  <c r="AN42" i="1"/>
  <c r="AT43" i="1"/>
  <c r="AW48" i="1"/>
  <c r="AK50" i="1"/>
  <c r="AV61" i="1"/>
  <c r="AK61" i="1"/>
  <c r="AS61" i="1"/>
  <c r="BB63" i="1"/>
  <c r="AT63" i="1"/>
  <c r="AT65" i="1"/>
  <c r="AV67" i="1"/>
  <c r="AK67" i="1"/>
  <c r="AS67" i="1"/>
  <c r="AK69" i="1"/>
  <c r="BB71" i="1"/>
  <c r="AT71" i="1"/>
  <c r="AV98" i="1"/>
  <c r="AS98" i="1"/>
  <c r="AK98" i="1"/>
  <c r="BE14" i="1"/>
  <c r="AK16" i="1"/>
  <c r="AT29" i="1"/>
  <c r="AK33" i="1"/>
  <c r="BN113" i="1"/>
  <c r="AN113" i="1"/>
  <c r="BE113" i="1"/>
  <c r="AB118" i="1"/>
  <c r="AV13" i="1"/>
  <c r="AK13" i="1"/>
  <c r="AV21" i="1"/>
  <c r="AK21" i="1"/>
  <c r="AV22" i="1"/>
  <c r="BB44" i="1"/>
  <c r="AT44" i="1"/>
  <c r="AU71" i="1"/>
  <c r="AZ71" i="1"/>
  <c r="AY71" i="1"/>
  <c r="AW71" i="1"/>
  <c r="AK11" i="1"/>
  <c r="AX14" i="1"/>
  <c r="AK19" i="1"/>
  <c r="BB19" i="1"/>
  <c r="BD19" i="1" s="1"/>
  <c r="AX22" i="1"/>
  <c r="BB27" i="1"/>
  <c r="BD27" i="1" s="1"/>
  <c r="AX9" i="1"/>
  <c r="BE10" i="1"/>
  <c r="AK12" i="1"/>
  <c r="BE18" i="1"/>
  <c r="AK20" i="1"/>
  <c r="BA21" i="1"/>
  <c r="AY22" i="1"/>
  <c r="BE26" i="1"/>
  <c r="AK28" i="1"/>
  <c r="BA29" i="1"/>
  <c r="AY30" i="1"/>
  <c r="AV33" i="1"/>
  <c r="BD33" i="1" s="1"/>
  <c r="AW35" i="1"/>
  <c r="AU35" i="1"/>
  <c r="AK36" i="1"/>
  <c r="AV36" i="1"/>
  <c r="AY36" i="1"/>
  <c r="AS37" i="1"/>
  <c r="AS118" i="1" s="1"/>
  <c r="AY39" i="1"/>
  <c r="AV43" i="1"/>
  <c r="AK43" i="1"/>
  <c r="AZ43" i="1"/>
  <c r="AK44" i="1"/>
  <c r="AX48" i="1"/>
  <c r="BN48" i="1"/>
  <c r="AV54" i="1"/>
  <c r="BB56" i="1"/>
  <c r="AT56" i="1"/>
  <c r="AU59" i="1"/>
  <c r="BA59" i="1"/>
  <c r="AZ59" i="1"/>
  <c r="AX59" i="1"/>
  <c r="AW59" i="1"/>
  <c r="BD79" i="1"/>
  <c r="AW13" i="1"/>
  <c r="AU13" i="1"/>
  <c r="AU14" i="1"/>
  <c r="BA14" i="1"/>
  <c r="BB54" i="1"/>
  <c r="AT54" i="1"/>
  <c r="BB72" i="1"/>
  <c r="AT72" i="1"/>
  <c r="AT13" i="1"/>
  <c r="AN31" i="1"/>
  <c r="BB40" i="1"/>
  <c r="AT40" i="1"/>
  <c r="AN48" i="1"/>
  <c r="AP48" i="1" s="1"/>
  <c r="AK52" i="1"/>
  <c r="AN56" i="1"/>
  <c r="AP56" i="1" s="1"/>
  <c r="AN10" i="1"/>
  <c r="BB14" i="1"/>
  <c r="AT14" i="1"/>
  <c r="AV28" i="1"/>
  <c r="BD28" i="1" s="1"/>
  <c r="AX29" i="1"/>
  <c r="AV30" i="1"/>
  <c r="BN31" i="1"/>
  <c r="AX42" i="1"/>
  <c r="AW42" i="1"/>
  <c r="BA42" i="1"/>
  <c r="BN56" i="1"/>
  <c r="BN10" i="1"/>
  <c r="AI118" i="1"/>
  <c r="AV9" i="1"/>
  <c r="AK9" i="1"/>
  <c r="AY9" i="1"/>
  <c r="BH118" i="1"/>
  <c r="AT10" i="1"/>
  <c r="BB10" i="1"/>
  <c r="AZ14" i="1"/>
  <c r="AV17" i="1"/>
  <c r="AK17" i="1"/>
  <c r="BB18" i="1"/>
  <c r="AT18" i="1"/>
  <c r="AV18" i="1"/>
  <c r="AZ22" i="1"/>
  <c r="AV25" i="1"/>
  <c r="AK25" i="1"/>
  <c r="AX25" i="1"/>
  <c r="BB26" i="1"/>
  <c r="AT26" i="1"/>
  <c r="AV26" i="1"/>
  <c r="AZ30" i="1"/>
  <c r="AZ36" i="1"/>
  <c r="AZ42" i="1"/>
  <c r="AY43" i="1"/>
  <c r="BA43" i="1"/>
  <c r="AT46" i="1"/>
  <c r="BB46" i="1"/>
  <c r="AU47" i="1"/>
  <c r="BA47" i="1"/>
  <c r="AZ47" i="1"/>
  <c r="AW47" i="1"/>
  <c r="AY48" i="1"/>
  <c r="AV50" i="1"/>
  <c r="BB52" i="1"/>
  <c r="AT52" i="1"/>
  <c r="BE56" i="1"/>
  <c r="BN60" i="1"/>
  <c r="BE60" i="1"/>
  <c r="AV47" i="1"/>
  <c r="AK47" i="1"/>
  <c r="AN15" i="1"/>
  <c r="AP15" i="1" s="1"/>
  <c r="AQ15" i="1" s="1"/>
  <c r="AR15" i="1" s="1"/>
  <c r="BE22" i="1"/>
  <c r="AN23" i="1"/>
  <c r="AN37" i="1"/>
  <c r="AP37" i="1" s="1"/>
  <c r="AQ37" i="1" s="1"/>
  <c r="AR37" i="1" s="1"/>
  <c r="BB50" i="1"/>
  <c r="AT50" i="1"/>
  <c r="BE80" i="1"/>
  <c r="BN80" i="1"/>
  <c r="AP80" i="1"/>
  <c r="AN80" i="1"/>
  <c r="AQ80" i="1" s="1"/>
  <c r="AR80" i="1" s="1"/>
  <c r="AV12" i="1"/>
  <c r="BD12" i="1" s="1"/>
  <c r="AV20" i="1"/>
  <c r="BD20" i="1" s="1"/>
  <c r="AU39" i="1"/>
  <c r="AW39" i="1"/>
  <c r="AV42" i="1"/>
  <c r="BE45" i="1"/>
  <c r="AT93" i="1"/>
  <c r="BB93" i="1"/>
  <c r="AW14" i="1"/>
  <c r="AU10" i="1"/>
  <c r="BA10" i="1"/>
  <c r="BA118" i="1" s="1"/>
  <c r="BB11" i="1"/>
  <c r="BD11" i="1" s="1"/>
  <c r="AW17" i="1"/>
  <c r="AU17" i="1"/>
  <c r="AZ9" i="1"/>
  <c r="BI118" i="1"/>
  <c r="AW10" i="1"/>
  <c r="BN14" i="1"/>
  <c r="AW18" i="1"/>
  <c r="BN22" i="1"/>
  <c r="AW26" i="1"/>
  <c r="BN30" i="1"/>
  <c r="AX35" i="1"/>
  <c r="BA36" i="1"/>
  <c r="AX37" i="1"/>
  <c r="AW37" i="1"/>
  <c r="AU37" i="1"/>
  <c r="BA39" i="1"/>
  <c r="BA40" i="1"/>
  <c r="AY40" i="1"/>
  <c r="AX40" i="1"/>
  <c r="AV40" i="1"/>
  <c r="BD41" i="1"/>
  <c r="AS42" i="1"/>
  <c r="BD44" i="1"/>
  <c r="AX47" i="1"/>
  <c r="AV53" i="1"/>
  <c r="AK53" i="1"/>
  <c r="AS53" i="1"/>
  <c r="BB58" i="1"/>
  <c r="AT58" i="1"/>
  <c r="AN60" i="1"/>
  <c r="AW63" i="1"/>
  <c r="AU64" i="1"/>
  <c r="BA64" i="1"/>
  <c r="AY64" i="1"/>
  <c r="AX64" i="1"/>
  <c r="AW64" i="1"/>
  <c r="AX71" i="1"/>
  <c r="AS88" i="1"/>
  <c r="AK88" i="1"/>
  <c r="AV88" i="1"/>
  <c r="BG117" i="1"/>
  <c r="BO117" i="1"/>
  <c r="BF117" i="1"/>
  <c r="BL117" i="1" s="1"/>
  <c r="AX65" i="1"/>
  <c r="BA65" i="1"/>
  <c r="AV65" i="1"/>
  <c r="AU65" i="1"/>
  <c r="AW65" i="1"/>
  <c r="BA75" i="1"/>
  <c r="AX75" i="1"/>
  <c r="AW75" i="1"/>
  <c r="AV75" i="1"/>
  <c r="AU75" i="1"/>
  <c r="AZ75" i="1"/>
  <c r="AP77" i="1"/>
  <c r="BN77" i="1"/>
  <c r="BE77" i="1"/>
  <c r="AN77" i="1"/>
  <c r="AQ77" i="1" s="1"/>
  <c r="AR77" i="1" s="1"/>
  <c r="AW94" i="1"/>
  <c r="AX94" i="1"/>
  <c r="AV94" i="1"/>
  <c r="BA94" i="1"/>
  <c r="AZ94" i="1"/>
  <c r="AY94" i="1"/>
  <c r="AU94" i="1"/>
  <c r="AV111" i="1"/>
  <c r="AK111" i="1"/>
  <c r="AS111" i="1"/>
  <c r="AJ118" i="1"/>
  <c r="BC118" i="1"/>
  <c r="BA34" i="1"/>
  <c r="BD34" i="1" s="1"/>
  <c r="AV35" i="1"/>
  <c r="AK35" i="1"/>
  <c r="AU51" i="1"/>
  <c r="AZ51" i="1"/>
  <c r="AU55" i="1"/>
  <c r="AZ55" i="1"/>
  <c r="AV57" i="1"/>
  <c r="BD57" i="1" s="1"/>
  <c r="AK57" i="1"/>
  <c r="BB60" i="1"/>
  <c r="AT60" i="1"/>
  <c r="AN68" i="1"/>
  <c r="BE68" i="1"/>
  <c r="AX69" i="1"/>
  <c r="AU69" i="1"/>
  <c r="AW69" i="1"/>
  <c r="BA79" i="1"/>
  <c r="AY79" i="1"/>
  <c r="AX79" i="1"/>
  <c r="AW79" i="1"/>
  <c r="BB109" i="1"/>
  <c r="AT109" i="1"/>
  <c r="BB34" i="1"/>
  <c r="AV39" i="1"/>
  <c r="AK39" i="1"/>
  <c r="AX46" i="1"/>
  <c r="AW46" i="1"/>
  <c r="BD46" i="1" s="1"/>
  <c r="BB48" i="1"/>
  <c r="AT48" i="1"/>
  <c r="AX50" i="1"/>
  <c r="AW50" i="1"/>
  <c r="BA52" i="1"/>
  <c r="AX52" i="1"/>
  <c r="AX54" i="1"/>
  <c r="AW54" i="1"/>
  <c r="BA56" i="1"/>
  <c r="AY56" i="1"/>
  <c r="AX56" i="1"/>
  <c r="AU56" i="1"/>
  <c r="AV59" i="1"/>
  <c r="AV62" i="1"/>
  <c r="BD62" i="1" s="1"/>
  <c r="AK62" i="1"/>
  <c r="AZ64" i="1"/>
  <c r="AK65" i="1"/>
  <c r="BA69" i="1"/>
  <c r="BN72" i="1"/>
  <c r="BE87" i="1"/>
  <c r="BN87" i="1"/>
  <c r="AN87" i="1"/>
  <c r="AP87" i="1" s="1"/>
  <c r="BA38" i="1"/>
  <c r="AU50" i="1"/>
  <c r="BD50" i="1" s="1"/>
  <c r="AV51" i="1"/>
  <c r="AK51" i="1"/>
  <c r="AW51" i="1"/>
  <c r="AU52" i="1"/>
  <c r="BD52" i="1" s="1"/>
  <c r="AU54" i="1"/>
  <c r="BD54" i="1" s="1"/>
  <c r="AV55" i="1"/>
  <c r="AK55" i="1"/>
  <c r="AW55" i="1"/>
  <c r="AV56" i="1"/>
  <c r="AX58" i="1"/>
  <c r="AW58" i="1"/>
  <c r="AU58" i="1"/>
  <c r="BD58" i="1" s="1"/>
  <c r="AK64" i="1"/>
  <c r="AY65" i="1"/>
  <c r="AZ68" i="1"/>
  <c r="AV69" i="1"/>
  <c r="AN72" i="1"/>
  <c r="AP72" i="1" s="1"/>
  <c r="AK73" i="1"/>
  <c r="AZ73" i="1"/>
  <c r="AS84" i="1"/>
  <c r="AK84" i="1"/>
  <c r="AV84" i="1"/>
  <c r="AX60" i="1"/>
  <c r="BD60" i="1" s="1"/>
  <c r="BA72" i="1"/>
  <c r="AY72" i="1"/>
  <c r="AU72" i="1"/>
  <c r="AT78" i="1"/>
  <c r="BB78" i="1"/>
  <c r="AV81" i="1"/>
  <c r="AK81" i="1"/>
  <c r="AS81" i="1"/>
  <c r="BB83" i="1"/>
  <c r="AT83" i="1"/>
  <c r="BA86" i="1"/>
  <c r="AX86" i="1"/>
  <c r="AZ87" i="1"/>
  <c r="AS59" i="1"/>
  <c r="AY60" i="1"/>
  <c r="AV63" i="1"/>
  <c r="AK63" i="1"/>
  <c r="AX70" i="1"/>
  <c r="AW70" i="1"/>
  <c r="AV71" i="1"/>
  <c r="AK71" i="1"/>
  <c r="BE75" i="1"/>
  <c r="AS76" i="1"/>
  <c r="AK76" i="1"/>
  <c r="BB79" i="1"/>
  <c r="AT79" i="1"/>
  <c r="BG92" i="1"/>
  <c r="BL92" i="1" s="1"/>
  <c r="BF92" i="1"/>
  <c r="AV95" i="1"/>
  <c r="AK95" i="1"/>
  <c r="AS95" i="1"/>
  <c r="BN96" i="1"/>
  <c r="AP96" i="1"/>
  <c r="AQ96" i="1" s="1"/>
  <c r="AR96" i="1" s="1"/>
  <c r="BE96" i="1"/>
  <c r="AS97" i="1"/>
  <c r="AK97" i="1"/>
  <c r="AV97" i="1"/>
  <c r="AW108" i="1"/>
  <c r="BA108" i="1"/>
  <c r="AX108" i="1"/>
  <c r="AV108" i="1"/>
  <c r="AU108" i="1"/>
  <c r="AY108" i="1"/>
  <c r="AZ83" i="1"/>
  <c r="AK83" i="1"/>
  <c r="AN96" i="1"/>
  <c r="AS101" i="1"/>
  <c r="AV101" i="1"/>
  <c r="AK101" i="1"/>
  <c r="BB64" i="1"/>
  <c r="AT64" i="1"/>
  <c r="AV66" i="1"/>
  <c r="AK66" i="1"/>
  <c r="AU66" i="1"/>
  <c r="AV70" i="1"/>
  <c r="BD70" i="1" s="1"/>
  <c r="AK70" i="1"/>
  <c r="AY70" i="1"/>
  <c r="AX72" i="1"/>
  <c r="AV74" i="1"/>
  <c r="AK74" i="1"/>
  <c r="AS74" i="1"/>
  <c r="AP75" i="1"/>
  <c r="AX77" i="1"/>
  <c r="AW77" i="1"/>
  <c r="AY77" i="1"/>
  <c r="AU77" i="1"/>
  <c r="BD77" i="1" s="1"/>
  <c r="AZ79" i="1"/>
  <c r="AT89" i="1"/>
  <c r="BB89" i="1"/>
  <c r="AT94" i="1"/>
  <c r="BB94" i="1"/>
  <c r="AK59" i="1"/>
  <c r="AW66" i="1"/>
  <c r="AZ72" i="1"/>
  <c r="AQ75" i="1"/>
  <c r="AR75" i="1" s="1"/>
  <c r="BA77" i="1"/>
  <c r="BD80" i="1"/>
  <c r="AX89" i="1"/>
  <c r="AU89" i="1"/>
  <c r="AW89" i="1"/>
  <c r="BA89" i="1"/>
  <c r="BN89" i="1"/>
  <c r="AZ89" i="1"/>
  <c r="AT114" i="1"/>
  <c r="BB114" i="1"/>
  <c r="AP85" i="1"/>
  <c r="BE85" i="1"/>
  <c r="BN85" i="1"/>
  <c r="AV86" i="1"/>
  <c r="AX93" i="1"/>
  <c r="AW93" i="1"/>
  <c r="AU93" i="1"/>
  <c r="BA93" i="1"/>
  <c r="AZ93" i="1"/>
  <c r="BA100" i="1"/>
  <c r="AY100" i="1"/>
  <c r="AX100" i="1"/>
  <c r="AV100" i="1"/>
  <c r="BN100" i="1"/>
  <c r="AZ100" i="1"/>
  <c r="BD100" i="1" s="1"/>
  <c r="BB102" i="1"/>
  <c r="AT102" i="1"/>
  <c r="BN117" i="1"/>
  <c r="BE117" i="1"/>
  <c r="BM117" i="1" s="1"/>
  <c r="AN117" i="1"/>
  <c r="AX73" i="1"/>
  <c r="AW73" i="1"/>
  <c r="BB75" i="1"/>
  <c r="AT75" i="1"/>
  <c r="AN85" i="1"/>
  <c r="AQ85" i="1" s="1"/>
  <c r="AR85" i="1" s="1"/>
  <c r="AY86" i="1"/>
  <c r="AP89" i="1"/>
  <c r="BE89" i="1"/>
  <c r="BA74" i="1"/>
  <c r="AV77" i="1"/>
  <c r="AK79" i="1"/>
  <c r="BD82" i="1"/>
  <c r="AZ86" i="1"/>
  <c r="AY89" i="1"/>
  <c r="BN92" i="1"/>
  <c r="BR92" i="1" s="1"/>
  <c r="BE92" i="1"/>
  <c r="AN92" i="1"/>
  <c r="AP92" i="1" s="1"/>
  <c r="BN93" i="1"/>
  <c r="BE93" i="1"/>
  <c r="AN93" i="1"/>
  <c r="BA104" i="1"/>
  <c r="AX104" i="1"/>
  <c r="AW104" i="1"/>
  <c r="AU104" i="1"/>
  <c r="BN104" i="1"/>
  <c r="AY104" i="1"/>
  <c r="AV104" i="1"/>
  <c r="AY105" i="1"/>
  <c r="AK105" i="1"/>
  <c r="AT117" i="1"/>
  <c r="AU73" i="1"/>
  <c r="AV78" i="1"/>
  <c r="BD78" i="1" s="1"/>
  <c r="AK78" i="1"/>
  <c r="BB82" i="1"/>
  <c r="AT82" i="1"/>
  <c r="AY93" i="1"/>
  <c r="BE109" i="1"/>
  <c r="AN109" i="1"/>
  <c r="BN109" i="1"/>
  <c r="AW78" i="1"/>
  <c r="AX81" i="1"/>
  <c r="AW81" i="1"/>
  <c r="AV82" i="1"/>
  <c r="AK82" i="1"/>
  <c r="AW82" i="1"/>
  <c r="AU83" i="1"/>
  <c r="BD83" i="1" s="1"/>
  <c r="AN89" i="1"/>
  <c r="AV107" i="1"/>
  <c r="AK107" i="1"/>
  <c r="AS107" i="1"/>
  <c r="BB91" i="1"/>
  <c r="BD91" i="1" s="1"/>
  <c r="AT91" i="1"/>
  <c r="BB100" i="1"/>
  <c r="AT100" i="1"/>
  <c r="BB104" i="1"/>
  <c r="AT104" i="1"/>
  <c r="AV109" i="1"/>
  <c r="BD109" i="1" s="1"/>
  <c r="BN112" i="1"/>
  <c r="BE112" i="1"/>
  <c r="AN112" i="1"/>
  <c r="AX85" i="1"/>
  <c r="AU85" i="1"/>
  <c r="AV93" i="1"/>
  <c r="BN94" i="1"/>
  <c r="BE94" i="1"/>
  <c r="AN94" i="1"/>
  <c r="BA96" i="1"/>
  <c r="AW96" i="1"/>
  <c r="AV96" i="1"/>
  <c r="AU99" i="1"/>
  <c r="BA99" i="1"/>
  <c r="AX102" i="1"/>
  <c r="AW102" i="1"/>
  <c r="BA102" i="1"/>
  <c r="AU102" i="1"/>
  <c r="AZ108" i="1"/>
  <c r="AP112" i="1"/>
  <c r="AT113" i="1"/>
  <c r="BB87" i="1"/>
  <c r="BD87" i="1" s="1"/>
  <c r="AT87" i="1"/>
  <c r="AV89" i="1"/>
  <c r="AU96" i="1"/>
  <c r="AW99" i="1"/>
  <c r="AY102" i="1"/>
  <c r="AK108" i="1"/>
  <c r="AQ112" i="1"/>
  <c r="AR112" i="1" s="1"/>
  <c r="AK91" i="1"/>
  <c r="BB96" i="1"/>
  <c r="AT96" i="1"/>
  <c r="AX96" i="1"/>
  <c r="AX99" i="1"/>
  <c r="AP100" i="1"/>
  <c r="BE100" i="1"/>
  <c r="AK102" i="1"/>
  <c r="AV102" i="1"/>
  <c r="AU103" i="1"/>
  <c r="AZ103" i="1"/>
  <c r="AY103" i="1"/>
  <c r="AW103" i="1"/>
  <c r="BB103" i="1"/>
  <c r="AT103" i="1"/>
  <c r="BE104" i="1"/>
  <c r="AW112" i="1"/>
  <c r="BA112" i="1"/>
  <c r="AY112" i="1"/>
  <c r="AX112" i="1"/>
  <c r="AV112" i="1"/>
  <c r="AU112" i="1"/>
  <c r="BA84" i="1"/>
  <c r="AY96" i="1"/>
  <c r="AX98" i="1"/>
  <c r="AW98" i="1"/>
  <c r="AQ100" i="1"/>
  <c r="AR100" i="1" s="1"/>
  <c r="AX103" i="1"/>
  <c r="BA110" i="1"/>
  <c r="AX110" i="1"/>
  <c r="AW110" i="1"/>
  <c r="BA114" i="1"/>
  <c r="AX114" i="1"/>
  <c r="AW114" i="1"/>
  <c r="BB115" i="1"/>
  <c r="AT115" i="1"/>
  <c r="AV113" i="1"/>
  <c r="BD113" i="1" s="1"/>
  <c r="BB116" i="1"/>
  <c r="AT116" i="1"/>
  <c r="AS86" i="1"/>
  <c r="AS90" i="1"/>
  <c r="AV103" i="1"/>
  <c r="AK103" i="1"/>
  <c r="AS105" i="1"/>
  <c r="BA106" i="1"/>
  <c r="AX106" i="1"/>
  <c r="AW106" i="1"/>
  <c r="AU106" i="1"/>
  <c r="BB112" i="1"/>
  <c r="AT112" i="1"/>
  <c r="AV115" i="1"/>
  <c r="AK115" i="1"/>
  <c r="AK116" i="1"/>
  <c r="AK86" i="1"/>
  <c r="AK90" i="1"/>
  <c r="AV99" i="1"/>
  <c r="AK99" i="1"/>
  <c r="AZ104" i="1"/>
  <c r="BB108" i="1"/>
  <c r="AT108" i="1"/>
  <c r="AZ112" i="1"/>
  <c r="AY116" i="1"/>
  <c r="BD116" i="1" s="1"/>
  <c r="AK106" i="1"/>
  <c r="AV106" i="1"/>
  <c r="AK110" i="1"/>
  <c r="AV110" i="1"/>
  <c r="BD110" i="1" s="1"/>
  <c r="AK114" i="1"/>
  <c r="AV114" i="1"/>
  <c r="BD114" i="1" s="1"/>
  <c r="AU107" i="1"/>
  <c r="AU111" i="1"/>
  <c r="AU115" i="1"/>
  <c r="BA116" i="1"/>
  <c r="BG87" i="1" l="1"/>
  <c r="BF87" i="1"/>
  <c r="BO87" i="1"/>
  <c r="BS87" i="1" s="1"/>
  <c r="BM87" i="1"/>
  <c r="BG60" i="1"/>
  <c r="BL60" i="1" s="1"/>
  <c r="BO60" i="1"/>
  <c r="BR60" i="1" s="1"/>
  <c r="BF60" i="1"/>
  <c r="BG11" i="1"/>
  <c r="BO11" i="1"/>
  <c r="BF11" i="1"/>
  <c r="BM11" i="1"/>
  <c r="BO46" i="1"/>
  <c r="BF46" i="1"/>
  <c r="BG46" i="1"/>
  <c r="BG16" i="1"/>
  <c r="BO16" i="1"/>
  <c r="BF16" i="1"/>
  <c r="BS23" i="1"/>
  <c r="BO110" i="1"/>
  <c r="BF110" i="1"/>
  <c r="BG110" i="1"/>
  <c r="BO62" i="1"/>
  <c r="BF62" i="1"/>
  <c r="BG62" i="1"/>
  <c r="BG116" i="1"/>
  <c r="BF116" i="1"/>
  <c r="BO116" i="1"/>
  <c r="BG12" i="1"/>
  <c r="BO12" i="1"/>
  <c r="BF12" i="1"/>
  <c r="BM12" i="1"/>
  <c r="AQ23" i="1"/>
  <c r="AR23" i="1" s="1"/>
  <c r="BG27" i="1"/>
  <c r="BO27" i="1"/>
  <c r="BF27" i="1"/>
  <c r="BG28" i="1"/>
  <c r="BO28" i="1"/>
  <c r="BF28" i="1"/>
  <c r="BO70" i="1"/>
  <c r="BF70" i="1"/>
  <c r="BG70" i="1"/>
  <c r="BL70" i="1" s="1"/>
  <c r="BO34" i="1"/>
  <c r="BF34" i="1"/>
  <c r="BM34" i="1" s="1"/>
  <c r="BG34" i="1"/>
  <c r="BG20" i="1"/>
  <c r="BL20" i="1" s="1"/>
  <c r="BO20" i="1"/>
  <c r="BF20" i="1"/>
  <c r="BF100" i="1"/>
  <c r="BG100" i="1"/>
  <c r="BL100" i="1" s="1"/>
  <c r="BO100" i="1"/>
  <c r="BR100" i="1" s="1"/>
  <c r="BM100" i="1"/>
  <c r="BG32" i="1"/>
  <c r="BO32" i="1"/>
  <c r="BF32" i="1"/>
  <c r="BD49" i="1"/>
  <c r="BM78" i="1"/>
  <c r="BF78" i="1"/>
  <c r="BO78" i="1"/>
  <c r="BG78" i="1"/>
  <c r="BG57" i="1"/>
  <c r="BL57" i="1" s="1"/>
  <c r="BM57" i="1"/>
  <c r="BO57" i="1"/>
  <c r="BF57" i="1"/>
  <c r="BO114" i="1"/>
  <c r="BF114" i="1"/>
  <c r="BG114" i="1"/>
  <c r="BS114" i="1"/>
  <c r="BG19" i="1"/>
  <c r="BO19" i="1"/>
  <c r="BF19" i="1"/>
  <c r="BB76" i="1"/>
  <c r="BD76" i="1" s="1"/>
  <c r="AT76" i="1"/>
  <c r="AP81" i="1"/>
  <c r="AQ81" i="1" s="1"/>
  <c r="AR81" i="1" s="1"/>
  <c r="BN81" i="1"/>
  <c r="BE81" i="1"/>
  <c r="AN81" i="1"/>
  <c r="BE64" i="1"/>
  <c r="BN64" i="1"/>
  <c r="AN64" i="1"/>
  <c r="AP64" i="1" s="1"/>
  <c r="AQ64" i="1" s="1"/>
  <c r="AR64" i="1" s="1"/>
  <c r="BN57" i="1"/>
  <c r="BR57" i="1" s="1"/>
  <c r="BE57" i="1"/>
  <c r="AN57" i="1"/>
  <c r="AP57" i="1"/>
  <c r="AQ57" i="1" s="1"/>
  <c r="AR57" i="1" s="1"/>
  <c r="BB88" i="1"/>
  <c r="AT88" i="1"/>
  <c r="BN17" i="1"/>
  <c r="BE17" i="1"/>
  <c r="AN17" i="1"/>
  <c r="BR31" i="1"/>
  <c r="BD14" i="1"/>
  <c r="BD59" i="1"/>
  <c r="AN43" i="1"/>
  <c r="AP43" i="1" s="1"/>
  <c r="BE43" i="1"/>
  <c r="BN43" i="1"/>
  <c r="BD35" i="1"/>
  <c r="AX118" i="1"/>
  <c r="AP113" i="1"/>
  <c r="AQ113" i="1" s="1"/>
  <c r="AR113" i="1" s="1"/>
  <c r="AP98" i="1"/>
  <c r="BN98" i="1"/>
  <c r="BE98" i="1"/>
  <c r="AN98" i="1"/>
  <c r="AQ98" i="1" s="1"/>
  <c r="AR98" i="1" s="1"/>
  <c r="BB67" i="1"/>
  <c r="BD67" i="1" s="1"/>
  <c r="AT67" i="1"/>
  <c r="AQ56" i="1"/>
  <c r="AR56" i="1" s="1"/>
  <c r="AP54" i="1"/>
  <c r="BN54" i="1"/>
  <c r="BE54" i="1"/>
  <c r="AN54" i="1"/>
  <c r="AQ54" i="1" s="1"/>
  <c r="AR54" i="1" s="1"/>
  <c r="BE41" i="1"/>
  <c r="BN41" i="1"/>
  <c r="BR41" i="1" s="1"/>
  <c r="AN41" i="1"/>
  <c r="AP41" i="1" s="1"/>
  <c r="BD21" i="1"/>
  <c r="AV118" i="1"/>
  <c r="AP52" i="1"/>
  <c r="BE52" i="1"/>
  <c r="BM52" i="1" s="1"/>
  <c r="AN52" i="1"/>
  <c r="AQ52" i="1" s="1"/>
  <c r="AR52" i="1" s="1"/>
  <c r="BN52" i="1"/>
  <c r="BD13" i="1"/>
  <c r="BN13" i="1"/>
  <c r="BE13" i="1"/>
  <c r="AN13" i="1"/>
  <c r="AP13" i="1" s="1"/>
  <c r="AQ13" i="1" s="1"/>
  <c r="AR13" i="1" s="1"/>
  <c r="AT98" i="1"/>
  <c r="BB98" i="1"/>
  <c r="BD98" i="1" s="1"/>
  <c r="BE67" i="1"/>
  <c r="AN67" i="1"/>
  <c r="AP67" i="1" s="1"/>
  <c r="AQ67" i="1" s="1"/>
  <c r="AR67" i="1" s="1"/>
  <c r="BN67" i="1"/>
  <c r="BD63" i="1"/>
  <c r="AP46" i="1"/>
  <c r="AQ46" i="1" s="1"/>
  <c r="AR46" i="1" s="1"/>
  <c r="BN46" i="1"/>
  <c r="BR46" i="1" s="1"/>
  <c r="BE46" i="1"/>
  <c r="BM46" i="1" s="1"/>
  <c r="AN46" i="1"/>
  <c r="BD29" i="1"/>
  <c r="BD68" i="1"/>
  <c r="AU118" i="1"/>
  <c r="BD9" i="1"/>
  <c r="BL45" i="1"/>
  <c r="BR34" i="1"/>
  <c r="BS34" i="1" s="1"/>
  <c r="BL15" i="1"/>
  <c r="BD111" i="1"/>
  <c r="AT105" i="1"/>
  <c r="BB105" i="1"/>
  <c r="BD105" i="1" s="1"/>
  <c r="AP102" i="1"/>
  <c r="AQ102" i="1" s="1"/>
  <c r="AR102" i="1" s="1"/>
  <c r="BN102" i="1"/>
  <c r="BE102" i="1"/>
  <c r="AN102" i="1"/>
  <c r="BF83" i="1"/>
  <c r="BO83" i="1"/>
  <c r="BG83" i="1"/>
  <c r="BB97" i="1"/>
  <c r="BD97" i="1" s="1"/>
  <c r="AT97" i="1"/>
  <c r="BN103" i="1"/>
  <c r="AN103" i="1"/>
  <c r="BE103" i="1"/>
  <c r="BD112" i="1"/>
  <c r="BM92" i="1"/>
  <c r="AN79" i="1"/>
  <c r="BE79" i="1"/>
  <c r="BN79" i="1"/>
  <c r="BR79" i="1" s="1"/>
  <c r="BB59" i="1"/>
  <c r="AT59" i="1"/>
  <c r="BN73" i="1"/>
  <c r="BE73" i="1"/>
  <c r="AN73" i="1"/>
  <c r="AP73" i="1" s="1"/>
  <c r="AQ73" i="1" s="1"/>
  <c r="AR73" i="1" s="1"/>
  <c r="BO54" i="1"/>
  <c r="BF54" i="1"/>
  <c r="BG54" i="1"/>
  <c r="BL54" i="1" s="1"/>
  <c r="BM54" i="1"/>
  <c r="AP65" i="1"/>
  <c r="AN65" i="1"/>
  <c r="AQ65" i="1" s="1"/>
  <c r="AR65" i="1" s="1"/>
  <c r="BE65" i="1"/>
  <c r="BN65" i="1"/>
  <c r="BE90" i="1"/>
  <c r="BN90" i="1"/>
  <c r="AP90" i="1"/>
  <c r="AQ90" i="1" s="1"/>
  <c r="AR90" i="1" s="1"/>
  <c r="AN90" i="1"/>
  <c r="BN108" i="1"/>
  <c r="BE108" i="1"/>
  <c r="AN108" i="1"/>
  <c r="AP108" i="1"/>
  <c r="AQ108" i="1" s="1"/>
  <c r="AR108" i="1" s="1"/>
  <c r="BS109" i="1"/>
  <c r="BG109" i="1"/>
  <c r="BL109" i="1" s="1"/>
  <c r="BO109" i="1"/>
  <c r="BF109" i="1"/>
  <c r="BB107" i="1"/>
  <c r="BD107" i="1" s="1"/>
  <c r="AT107" i="1"/>
  <c r="BE82" i="1"/>
  <c r="BN82" i="1"/>
  <c r="AN82" i="1"/>
  <c r="AP82" i="1" s="1"/>
  <c r="AQ82" i="1" s="1"/>
  <c r="AR82" i="1" s="1"/>
  <c r="AP109" i="1"/>
  <c r="AQ109" i="1" s="1"/>
  <c r="AR109" i="1" s="1"/>
  <c r="BE105" i="1"/>
  <c r="AN105" i="1"/>
  <c r="BN105" i="1"/>
  <c r="BD93" i="1"/>
  <c r="BG80" i="1"/>
  <c r="BL80" i="1" s="1"/>
  <c r="BO80" i="1"/>
  <c r="BF80" i="1"/>
  <c r="BM80" i="1" s="1"/>
  <c r="AP70" i="1"/>
  <c r="AQ70" i="1" s="1"/>
  <c r="AR70" i="1" s="1"/>
  <c r="BN70" i="1"/>
  <c r="BR70" i="1" s="1"/>
  <c r="BE70" i="1"/>
  <c r="AN70" i="1"/>
  <c r="BN101" i="1"/>
  <c r="AN101" i="1"/>
  <c r="AQ101" i="1" s="1"/>
  <c r="AR101" i="1" s="1"/>
  <c r="BE101" i="1"/>
  <c r="AP101" i="1"/>
  <c r="BS92" i="1"/>
  <c r="BO52" i="1"/>
  <c r="BF52" i="1"/>
  <c r="BG52" i="1"/>
  <c r="BR77" i="1"/>
  <c r="BD37" i="1"/>
  <c r="BN25" i="1"/>
  <c r="BE25" i="1"/>
  <c r="AN25" i="1"/>
  <c r="AP25" i="1"/>
  <c r="AQ25" i="1" s="1"/>
  <c r="AR25" i="1" s="1"/>
  <c r="BS33" i="1"/>
  <c r="BM33" i="1"/>
  <c r="BG33" i="1"/>
  <c r="BO33" i="1"/>
  <c r="BF33" i="1"/>
  <c r="BE27" i="1"/>
  <c r="BM27" i="1" s="1"/>
  <c r="BN27" i="1"/>
  <c r="BR27" i="1" s="1"/>
  <c r="AN27" i="1"/>
  <c r="AP27" i="1" s="1"/>
  <c r="AQ48" i="1"/>
  <c r="AR48" i="1" s="1"/>
  <c r="BN29" i="1"/>
  <c r="BE29" i="1"/>
  <c r="AN29" i="1"/>
  <c r="AP29" i="1"/>
  <c r="AQ29" i="1" s="1"/>
  <c r="AR29" i="1" s="1"/>
  <c r="AW118" i="1"/>
  <c r="BO38" i="1"/>
  <c r="BF38" i="1"/>
  <c r="BG38" i="1"/>
  <c r="BG24" i="1"/>
  <c r="BO24" i="1"/>
  <c r="BF24" i="1"/>
  <c r="BM24" i="1"/>
  <c r="AP114" i="1"/>
  <c r="AQ114" i="1" s="1"/>
  <c r="AR114" i="1" s="1"/>
  <c r="BN114" i="1"/>
  <c r="BR114" i="1" s="1"/>
  <c r="BE114" i="1"/>
  <c r="BM114" i="1" s="1"/>
  <c r="AN114" i="1"/>
  <c r="AT90" i="1"/>
  <c r="BB90" i="1"/>
  <c r="BD90" i="1" s="1"/>
  <c r="BR117" i="1"/>
  <c r="BR87" i="1"/>
  <c r="BN62" i="1"/>
  <c r="AN62" i="1"/>
  <c r="AQ62" i="1" s="1"/>
  <c r="AR62" i="1" s="1"/>
  <c r="BE62" i="1"/>
  <c r="BM62" i="1" s="1"/>
  <c r="AP62" i="1"/>
  <c r="BD55" i="1"/>
  <c r="BD65" i="1"/>
  <c r="BB42" i="1"/>
  <c r="BD42" i="1" s="1"/>
  <c r="AT42" i="1"/>
  <c r="BD10" i="1"/>
  <c r="BR80" i="1"/>
  <c r="BS80" i="1" s="1"/>
  <c r="AP60" i="1"/>
  <c r="AQ60" i="1" s="1"/>
  <c r="AR60" i="1" s="1"/>
  <c r="BS79" i="1"/>
  <c r="BG79" i="1"/>
  <c r="BF79" i="1"/>
  <c r="BM79" i="1" s="1"/>
  <c r="BO79" i="1"/>
  <c r="BD71" i="1"/>
  <c r="AP33" i="1"/>
  <c r="AQ33" i="1" s="1"/>
  <c r="AR33" i="1" s="1"/>
  <c r="BE33" i="1"/>
  <c r="BN33" i="1"/>
  <c r="BR33" i="1" s="1"/>
  <c r="AN33" i="1"/>
  <c r="BD48" i="1"/>
  <c r="BD43" i="1"/>
  <c r="BN116" i="1"/>
  <c r="BR116" i="1" s="1"/>
  <c r="BE116" i="1"/>
  <c r="BM116" i="1" s="1"/>
  <c r="AN116" i="1"/>
  <c r="AP116" i="1"/>
  <c r="AQ116" i="1" s="1"/>
  <c r="AR116" i="1" s="1"/>
  <c r="BD106" i="1"/>
  <c r="BB86" i="1"/>
  <c r="BD86" i="1" s="1"/>
  <c r="AT86" i="1"/>
  <c r="BD99" i="1"/>
  <c r="AQ93" i="1"/>
  <c r="AR93" i="1" s="1"/>
  <c r="AP117" i="1"/>
  <c r="AQ117" i="1" s="1"/>
  <c r="AR117" i="1" s="1"/>
  <c r="BD66" i="1"/>
  <c r="AT101" i="1"/>
  <c r="BB101" i="1"/>
  <c r="BD101" i="1" s="1"/>
  <c r="BN84" i="1"/>
  <c r="BE84" i="1"/>
  <c r="AN84" i="1"/>
  <c r="BE51" i="1"/>
  <c r="AN51" i="1"/>
  <c r="AP51" i="1" s="1"/>
  <c r="AQ51" i="1" s="1"/>
  <c r="AR51" i="1" s="1"/>
  <c r="BN51" i="1"/>
  <c r="BE39" i="1"/>
  <c r="AN39" i="1"/>
  <c r="AP39" i="1" s="1"/>
  <c r="AQ39" i="1" s="1"/>
  <c r="AR39" i="1" s="1"/>
  <c r="BN39" i="1"/>
  <c r="BE111" i="1"/>
  <c r="AP111" i="1"/>
  <c r="BN111" i="1"/>
  <c r="AN111" i="1"/>
  <c r="AQ111" i="1" s="1"/>
  <c r="AR111" i="1" s="1"/>
  <c r="BS117" i="1"/>
  <c r="BG41" i="1"/>
  <c r="BO41" i="1"/>
  <c r="BF41" i="1"/>
  <c r="BM41" i="1" s="1"/>
  <c r="BD39" i="1"/>
  <c r="AT37" i="1"/>
  <c r="AT118" i="1" s="1"/>
  <c r="BB37" i="1"/>
  <c r="BB118" i="1" s="1"/>
  <c r="BE19" i="1"/>
  <c r="BM19" i="1" s="1"/>
  <c r="BN19" i="1"/>
  <c r="BR19" i="1" s="1"/>
  <c r="AN19" i="1"/>
  <c r="AP19" i="1" s="1"/>
  <c r="AP50" i="1"/>
  <c r="BN50" i="1"/>
  <c r="BE50" i="1"/>
  <c r="AN50" i="1"/>
  <c r="AQ50" i="1"/>
  <c r="AR50" i="1" s="1"/>
  <c r="AQ24" i="1"/>
  <c r="AR24" i="1" s="1"/>
  <c r="AP24" i="1"/>
  <c r="BN24" i="1"/>
  <c r="BR24" i="1" s="1"/>
  <c r="BE24" i="1"/>
  <c r="AN24" i="1"/>
  <c r="BN110" i="1"/>
  <c r="BR110" i="1" s="1"/>
  <c r="BE110" i="1"/>
  <c r="BM110" i="1" s="1"/>
  <c r="AN110" i="1"/>
  <c r="BN115" i="1"/>
  <c r="AN115" i="1"/>
  <c r="AP115" i="1" s="1"/>
  <c r="AQ115" i="1" s="1"/>
  <c r="AR115" i="1" s="1"/>
  <c r="BE115" i="1"/>
  <c r="BD85" i="1"/>
  <c r="BB74" i="1"/>
  <c r="BD74" i="1" s="1"/>
  <c r="AT74" i="1"/>
  <c r="AP66" i="1"/>
  <c r="BN66" i="1"/>
  <c r="AN66" i="1"/>
  <c r="AQ66" i="1" s="1"/>
  <c r="AR66" i="1" s="1"/>
  <c r="BE66" i="1"/>
  <c r="BB95" i="1"/>
  <c r="BD95" i="1" s="1"/>
  <c r="AT95" i="1"/>
  <c r="BD72" i="1"/>
  <c r="BB84" i="1"/>
  <c r="BD84" i="1" s="1"/>
  <c r="AT84" i="1"/>
  <c r="AQ87" i="1"/>
  <c r="AR87" i="1" s="1"/>
  <c r="AP68" i="1"/>
  <c r="AQ68" i="1" s="1"/>
  <c r="AR68" i="1" s="1"/>
  <c r="BD51" i="1"/>
  <c r="BD75" i="1"/>
  <c r="AT53" i="1"/>
  <c r="BB53" i="1"/>
  <c r="BD53" i="1" s="1"/>
  <c r="BD40" i="1"/>
  <c r="AP23" i="1"/>
  <c r="AN47" i="1"/>
  <c r="BN47" i="1"/>
  <c r="BE47" i="1"/>
  <c r="AP28" i="1"/>
  <c r="AQ28" i="1" s="1"/>
  <c r="AR28" i="1" s="1"/>
  <c r="BN28" i="1"/>
  <c r="BE28" i="1"/>
  <c r="BM28" i="1" s="1"/>
  <c r="AN28" i="1"/>
  <c r="AP12" i="1"/>
  <c r="AQ12" i="1" s="1"/>
  <c r="AR12" i="1" s="1"/>
  <c r="BN12" i="1"/>
  <c r="BR12" i="1" s="1"/>
  <c r="BE12" i="1"/>
  <c r="AN12" i="1"/>
  <c r="BD26" i="1"/>
  <c r="AN40" i="1"/>
  <c r="BN40" i="1"/>
  <c r="BE40" i="1"/>
  <c r="AP38" i="1"/>
  <c r="BN38" i="1"/>
  <c r="AN38" i="1"/>
  <c r="AQ38" i="1" s="1"/>
  <c r="AR38" i="1" s="1"/>
  <c r="BE38" i="1"/>
  <c r="BM38" i="1" s="1"/>
  <c r="BD30" i="1"/>
  <c r="BL23" i="1"/>
  <c r="BS15" i="1"/>
  <c r="BR23" i="1"/>
  <c r="AQ34" i="1"/>
  <c r="AR34" i="1" s="1"/>
  <c r="BL31" i="1"/>
  <c r="AN91" i="1"/>
  <c r="AP91" i="1" s="1"/>
  <c r="BN91" i="1"/>
  <c r="BR91" i="1" s="1"/>
  <c r="BE91" i="1"/>
  <c r="BG82" i="1"/>
  <c r="BF82" i="1"/>
  <c r="BM82" i="1" s="1"/>
  <c r="BO82" i="1"/>
  <c r="BO77" i="1"/>
  <c r="BS77" i="1" s="1"/>
  <c r="BF77" i="1"/>
  <c r="BM77" i="1" s="1"/>
  <c r="BG77" i="1"/>
  <c r="BL77" i="1" s="1"/>
  <c r="BG91" i="1"/>
  <c r="BF91" i="1"/>
  <c r="BM91" i="1" s="1"/>
  <c r="BO91" i="1"/>
  <c r="BD108" i="1"/>
  <c r="BN71" i="1"/>
  <c r="AN71" i="1"/>
  <c r="AP71" i="1" s="1"/>
  <c r="AQ71" i="1" s="1"/>
  <c r="AR71" i="1" s="1"/>
  <c r="BE71" i="1"/>
  <c r="BO58" i="1"/>
  <c r="BF58" i="1"/>
  <c r="BG58" i="1"/>
  <c r="BM58" i="1"/>
  <c r="BS58" i="1"/>
  <c r="BD69" i="1"/>
  <c r="BG44" i="1"/>
  <c r="BF44" i="1"/>
  <c r="BO44" i="1"/>
  <c r="AP20" i="1"/>
  <c r="BN20" i="1"/>
  <c r="BR20" i="1" s="1"/>
  <c r="BE20" i="1"/>
  <c r="BM20" i="1" s="1"/>
  <c r="AN20" i="1"/>
  <c r="AQ20" i="1" s="1"/>
  <c r="AR20" i="1" s="1"/>
  <c r="BD18" i="1"/>
  <c r="AN32" i="1"/>
  <c r="BE32" i="1"/>
  <c r="BM32" i="1" s="1"/>
  <c r="BN32" i="1"/>
  <c r="BR32" i="1" s="1"/>
  <c r="AN86" i="1"/>
  <c r="BE86" i="1"/>
  <c r="BN86" i="1"/>
  <c r="BE107" i="1"/>
  <c r="AP107" i="1"/>
  <c r="BN107" i="1"/>
  <c r="AN107" i="1"/>
  <c r="AQ107" i="1" s="1"/>
  <c r="AR107" i="1" s="1"/>
  <c r="BE78" i="1"/>
  <c r="BN78" i="1"/>
  <c r="BR78" i="1" s="1"/>
  <c r="AN78" i="1"/>
  <c r="AP78" i="1" s="1"/>
  <c r="AQ78" i="1" s="1"/>
  <c r="AR78" i="1" s="1"/>
  <c r="AQ92" i="1"/>
  <c r="AR92" i="1" s="1"/>
  <c r="BB111" i="1"/>
  <c r="AT111" i="1"/>
  <c r="BD103" i="1"/>
  <c r="AQ89" i="1"/>
  <c r="AR89" i="1" s="1"/>
  <c r="BD73" i="1"/>
  <c r="BN74" i="1"/>
  <c r="AP74" i="1"/>
  <c r="AQ74" i="1" s="1"/>
  <c r="AR74" i="1" s="1"/>
  <c r="AN74" i="1"/>
  <c r="BE74" i="1"/>
  <c r="BE83" i="1"/>
  <c r="BM83" i="1" s="1"/>
  <c r="BN83" i="1"/>
  <c r="BR83" i="1" s="1"/>
  <c r="AN83" i="1"/>
  <c r="AP83" i="1" s="1"/>
  <c r="AQ83" i="1" s="1"/>
  <c r="AR83" i="1" s="1"/>
  <c r="BN95" i="1"/>
  <c r="AN95" i="1"/>
  <c r="BE95" i="1"/>
  <c r="AP95" i="1"/>
  <c r="AQ95" i="1" s="1"/>
  <c r="AR95" i="1" s="1"/>
  <c r="AN63" i="1"/>
  <c r="BE63" i="1"/>
  <c r="BN63" i="1"/>
  <c r="BO50" i="1"/>
  <c r="BF50" i="1"/>
  <c r="BG50" i="1"/>
  <c r="BL50" i="1" s="1"/>
  <c r="BM50" i="1"/>
  <c r="BD56" i="1"/>
  <c r="BE35" i="1"/>
  <c r="BN35" i="1"/>
  <c r="AN35" i="1"/>
  <c r="AP35" i="1"/>
  <c r="AQ35" i="1" s="1"/>
  <c r="AR35" i="1" s="1"/>
  <c r="BD94" i="1"/>
  <c r="BD88" i="1"/>
  <c r="BE53" i="1"/>
  <c r="AN53" i="1"/>
  <c r="AP53" i="1" s="1"/>
  <c r="AQ53" i="1" s="1"/>
  <c r="AR53" i="1" s="1"/>
  <c r="BN53" i="1"/>
  <c r="AZ118" i="1"/>
  <c r="BD47" i="1"/>
  <c r="AY118" i="1"/>
  <c r="BN44" i="1"/>
  <c r="BR44" i="1" s="1"/>
  <c r="AN44" i="1"/>
  <c r="BE44" i="1"/>
  <c r="BM44" i="1" s="1"/>
  <c r="AQ11" i="1"/>
  <c r="AR11" i="1" s="1"/>
  <c r="BE11" i="1"/>
  <c r="BN11" i="1"/>
  <c r="BR11" i="1" s="1"/>
  <c r="AP11" i="1"/>
  <c r="AN11" i="1"/>
  <c r="BN16" i="1"/>
  <c r="BR16" i="1" s="1"/>
  <c r="BE16" i="1"/>
  <c r="BM16" i="1" s="1"/>
  <c r="AN16" i="1"/>
  <c r="AT61" i="1"/>
  <c r="BB61" i="1"/>
  <c r="BD61" i="1" s="1"/>
  <c r="BD25" i="1"/>
  <c r="AT49" i="1"/>
  <c r="BB49" i="1"/>
  <c r="BD115" i="1"/>
  <c r="AP106" i="1"/>
  <c r="BN106" i="1"/>
  <c r="BE106" i="1"/>
  <c r="AN106" i="1"/>
  <c r="AQ106" i="1" s="1"/>
  <c r="AR106" i="1" s="1"/>
  <c r="BE99" i="1"/>
  <c r="BN99" i="1"/>
  <c r="AP99" i="1"/>
  <c r="AN99" i="1"/>
  <c r="AQ99" i="1" s="1"/>
  <c r="AR99" i="1" s="1"/>
  <c r="BS113" i="1"/>
  <c r="BG113" i="1"/>
  <c r="BL113" i="1" s="1"/>
  <c r="BO113" i="1"/>
  <c r="BF113" i="1"/>
  <c r="AP94" i="1"/>
  <c r="AQ94" i="1" s="1"/>
  <c r="AR94" i="1" s="1"/>
  <c r="BD96" i="1"/>
  <c r="BD102" i="1"/>
  <c r="BR109" i="1"/>
  <c r="BD104" i="1"/>
  <c r="AP93" i="1"/>
  <c r="BD89" i="1"/>
  <c r="BN59" i="1"/>
  <c r="AN59" i="1"/>
  <c r="AP59" i="1" s="1"/>
  <c r="AQ59" i="1" s="1"/>
  <c r="AR59" i="1" s="1"/>
  <c r="BE59" i="1"/>
  <c r="AQ97" i="1"/>
  <c r="AR97" i="1" s="1"/>
  <c r="AP97" i="1"/>
  <c r="AN97" i="1"/>
  <c r="BE97" i="1"/>
  <c r="BN97" i="1"/>
  <c r="AN76" i="1"/>
  <c r="AP76" i="1" s="1"/>
  <c r="AQ76" i="1" s="1"/>
  <c r="AR76" i="1" s="1"/>
  <c r="BE76" i="1"/>
  <c r="BN76" i="1"/>
  <c r="AT81" i="1"/>
  <c r="BB81" i="1"/>
  <c r="BD81" i="1" s="1"/>
  <c r="BE55" i="1"/>
  <c r="BN55" i="1"/>
  <c r="AN55" i="1"/>
  <c r="AP55" i="1" s="1"/>
  <c r="AQ55" i="1" s="1"/>
  <c r="AR55" i="1" s="1"/>
  <c r="AQ72" i="1"/>
  <c r="AR72" i="1" s="1"/>
  <c r="BN88" i="1"/>
  <c r="BE88" i="1"/>
  <c r="AN88" i="1"/>
  <c r="AP88" i="1" s="1"/>
  <c r="AQ88" i="1" s="1"/>
  <c r="AR88" i="1" s="1"/>
  <c r="BD64" i="1"/>
  <c r="BD17" i="1"/>
  <c r="AK118" i="1"/>
  <c r="BN9" i="1"/>
  <c r="BE9" i="1"/>
  <c r="AN9" i="1"/>
  <c r="AN118" i="1" s="1"/>
  <c r="AN36" i="1"/>
  <c r="AP36" i="1" s="1"/>
  <c r="AQ36" i="1" s="1"/>
  <c r="AR36" i="1" s="1"/>
  <c r="BE36" i="1"/>
  <c r="BN36" i="1"/>
  <c r="AP10" i="1"/>
  <c r="AQ10" i="1" s="1"/>
  <c r="AR10" i="1" s="1"/>
  <c r="BN21" i="1"/>
  <c r="BE21" i="1"/>
  <c r="AN21" i="1"/>
  <c r="BR113" i="1"/>
  <c r="AP69" i="1"/>
  <c r="AQ69" i="1" s="1"/>
  <c r="AR69" i="1" s="1"/>
  <c r="BN69" i="1"/>
  <c r="AN69" i="1"/>
  <c r="BE69" i="1"/>
  <c r="BN61" i="1"/>
  <c r="BE61" i="1"/>
  <c r="AN61" i="1"/>
  <c r="AQ61" i="1" s="1"/>
  <c r="AR61" i="1" s="1"/>
  <c r="AP61" i="1"/>
  <c r="BD36" i="1"/>
  <c r="BR58" i="1"/>
  <c r="BE49" i="1"/>
  <c r="BN49" i="1"/>
  <c r="AN49" i="1"/>
  <c r="BD22" i="1"/>
  <c r="BS31" i="1"/>
  <c r="BG84" i="1" l="1"/>
  <c r="BF84" i="1"/>
  <c r="BO84" i="1"/>
  <c r="BS84" i="1" s="1"/>
  <c r="BM84" i="1"/>
  <c r="BS52" i="1"/>
  <c r="BO67" i="1"/>
  <c r="BG67" i="1"/>
  <c r="BL67" i="1" s="1"/>
  <c r="BF67" i="1"/>
  <c r="BM67" i="1" s="1"/>
  <c r="AQ49" i="1"/>
  <c r="AR49" i="1" s="1"/>
  <c r="AQ16" i="1"/>
  <c r="AR16" i="1" s="1"/>
  <c r="BS38" i="1"/>
  <c r="BO98" i="1"/>
  <c r="BF98" i="1"/>
  <c r="BS98" i="1"/>
  <c r="BG98" i="1"/>
  <c r="BL98" i="1" s="1"/>
  <c r="BM98" i="1"/>
  <c r="BG107" i="1"/>
  <c r="BF107" i="1"/>
  <c r="BM107" i="1" s="1"/>
  <c r="BO107" i="1"/>
  <c r="BR107" i="1" s="1"/>
  <c r="AQ79" i="1"/>
  <c r="AR79" i="1" s="1"/>
  <c r="BO81" i="1"/>
  <c r="BF81" i="1"/>
  <c r="BG81" i="1"/>
  <c r="BL81" i="1" s="1"/>
  <c r="AQ47" i="1"/>
  <c r="AR47" i="1" s="1"/>
  <c r="AQ110" i="1"/>
  <c r="AR110" i="1" s="1"/>
  <c r="BO42" i="1"/>
  <c r="BR42" i="1" s="1"/>
  <c r="BF42" i="1"/>
  <c r="BG42" i="1"/>
  <c r="BL42" i="1" s="1"/>
  <c r="BM74" i="1"/>
  <c r="BO74" i="1"/>
  <c r="BF74" i="1"/>
  <c r="BG74" i="1"/>
  <c r="AQ84" i="1"/>
  <c r="AR84" i="1" s="1"/>
  <c r="BR99" i="1"/>
  <c r="BS99" i="1" s="1"/>
  <c r="BG51" i="1"/>
  <c r="BF51" i="1"/>
  <c r="BM51" i="1" s="1"/>
  <c r="BO51" i="1"/>
  <c r="BR51" i="1" s="1"/>
  <c r="BR103" i="1"/>
  <c r="BS103" i="1" s="1"/>
  <c r="BM29" i="1"/>
  <c r="BS29" i="1"/>
  <c r="BF29" i="1"/>
  <c r="BG29" i="1"/>
  <c r="BO29" i="1"/>
  <c r="BG49" i="1"/>
  <c r="BF49" i="1"/>
  <c r="BM49" i="1" s="1"/>
  <c r="BO49" i="1"/>
  <c r="BR49" i="1" s="1"/>
  <c r="BM70" i="1"/>
  <c r="BL116" i="1"/>
  <c r="AP16" i="1"/>
  <c r="BR71" i="1"/>
  <c r="BL91" i="1"/>
  <c r="AQ91" i="1"/>
  <c r="AR91" i="1" s="1"/>
  <c r="AP40" i="1"/>
  <c r="AQ40" i="1" s="1"/>
  <c r="AR40" i="1" s="1"/>
  <c r="AP47" i="1"/>
  <c r="AQ19" i="1"/>
  <c r="AR19" i="1" s="1"/>
  <c r="BG43" i="1"/>
  <c r="BF43" i="1"/>
  <c r="BM43" i="1" s="1"/>
  <c r="BO43" i="1"/>
  <c r="BS43" i="1" s="1"/>
  <c r="BM71" i="1"/>
  <c r="BG71" i="1"/>
  <c r="BF71" i="1"/>
  <c r="BO71" i="1"/>
  <c r="BS71" i="1" s="1"/>
  <c r="BR90" i="1"/>
  <c r="AQ41" i="1"/>
  <c r="AR41" i="1" s="1"/>
  <c r="BF14" i="1"/>
  <c r="BM14" i="1"/>
  <c r="BG14" i="1"/>
  <c r="BO14" i="1"/>
  <c r="BR14" i="1" s="1"/>
  <c r="BL114" i="1"/>
  <c r="BS57" i="1"/>
  <c r="BS100" i="1"/>
  <c r="BL28" i="1"/>
  <c r="BS12" i="1"/>
  <c r="BS116" i="1"/>
  <c r="BS16" i="1"/>
  <c r="BL46" i="1"/>
  <c r="BF22" i="1"/>
  <c r="BM22" i="1" s="1"/>
  <c r="BG22" i="1"/>
  <c r="BL22" i="1" s="1"/>
  <c r="BO22" i="1"/>
  <c r="BR22" i="1" s="1"/>
  <c r="BG96" i="1"/>
  <c r="BF96" i="1"/>
  <c r="BO96" i="1"/>
  <c r="BR96" i="1" s="1"/>
  <c r="BM96" i="1"/>
  <c r="BG69" i="1"/>
  <c r="BL69" i="1" s="1"/>
  <c r="BO69" i="1"/>
  <c r="BR69" i="1" s="1"/>
  <c r="BF69" i="1"/>
  <c r="BG75" i="1"/>
  <c r="BF75" i="1"/>
  <c r="BO75" i="1"/>
  <c r="BR75" i="1" s="1"/>
  <c r="BM75" i="1"/>
  <c r="BO90" i="1"/>
  <c r="BG90" i="1"/>
  <c r="BF90" i="1"/>
  <c r="BM90" i="1" s="1"/>
  <c r="BS90" i="1"/>
  <c r="BG37" i="1"/>
  <c r="BL37" i="1" s="1"/>
  <c r="BO37" i="1"/>
  <c r="BR37" i="1" s="1"/>
  <c r="BF37" i="1"/>
  <c r="BG95" i="1"/>
  <c r="BF95" i="1"/>
  <c r="BM95" i="1" s="1"/>
  <c r="BO95" i="1"/>
  <c r="BS95" i="1" s="1"/>
  <c r="BM99" i="1"/>
  <c r="BO99" i="1"/>
  <c r="BG99" i="1"/>
  <c r="BF99" i="1"/>
  <c r="AP79" i="1"/>
  <c r="BG111" i="1"/>
  <c r="BF111" i="1"/>
  <c r="BM111" i="1" s="1"/>
  <c r="BO111" i="1"/>
  <c r="BS111" i="1" s="1"/>
  <c r="BM113" i="1"/>
  <c r="AP49" i="1"/>
  <c r="BR61" i="1"/>
  <c r="AP21" i="1"/>
  <c r="AQ21" i="1" s="1"/>
  <c r="AR21" i="1" s="1"/>
  <c r="BR88" i="1"/>
  <c r="BS88" i="1" s="1"/>
  <c r="BO89" i="1"/>
  <c r="BR89" i="1" s="1"/>
  <c r="BF89" i="1"/>
  <c r="BG89" i="1"/>
  <c r="BL89" i="1" s="1"/>
  <c r="BS89" i="1"/>
  <c r="BM89" i="1"/>
  <c r="AP44" i="1"/>
  <c r="AQ44" i="1" s="1"/>
  <c r="AR44" i="1" s="1"/>
  <c r="BR35" i="1"/>
  <c r="BO73" i="1"/>
  <c r="BR73" i="1" s="1"/>
  <c r="BF73" i="1"/>
  <c r="BG73" i="1"/>
  <c r="BL73" i="1" s="1"/>
  <c r="AP32" i="1"/>
  <c r="AQ32" i="1" s="1"/>
  <c r="AR32" i="1" s="1"/>
  <c r="BL58" i="1"/>
  <c r="BL82" i="1"/>
  <c r="AP110" i="1"/>
  <c r="BL41" i="1"/>
  <c r="BG101" i="1"/>
  <c r="BF101" i="1"/>
  <c r="BM101" i="1" s="1"/>
  <c r="BO101" i="1"/>
  <c r="BR101" i="1" s="1"/>
  <c r="BG86" i="1"/>
  <c r="BL86" i="1" s="1"/>
  <c r="BF86" i="1"/>
  <c r="BM86" i="1" s="1"/>
  <c r="BO86" i="1"/>
  <c r="BO48" i="1"/>
  <c r="BR48" i="1" s="1"/>
  <c r="BF48" i="1"/>
  <c r="BM48" i="1" s="1"/>
  <c r="BG48" i="1"/>
  <c r="BL48" i="1" s="1"/>
  <c r="BG10" i="1"/>
  <c r="BO10" i="1"/>
  <c r="BR10" i="1" s="1"/>
  <c r="BS10" i="1"/>
  <c r="BF10" i="1"/>
  <c r="BM10" i="1"/>
  <c r="BL24" i="1"/>
  <c r="AP105" i="1"/>
  <c r="AQ105" i="1" s="1"/>
  <c r="AR105" i="1" s="1"/>
  <c r="BF35" i="1"/>
  <c r="BM35" i="1" s="1"/>
  <c r="BO35" i="1"/>
  <c r="BS35" i="1"/>
  <c r="BG35" i="1"/>
  <c r="BL35" i="1" s="1"/>
  <c r="BG76" i="1"/>
  <c r="BF76" i="1"/>
  <c r="BM76" i="1" s="1"/>
  <c r="BO76" i="1"/>
  <c r="BR76" i="1" s="1"/>
  <c r="BL34" i="1"/>
  <c r="BS110" i="1"/>
  <c r="BL11" i="1"/>
  <c r="BR97" i="1"/>
  <c r="BO85" i="1"/>
  <c r="BR85" i="1" s="1"/>
  <c r="BF85" i="1"/>
  <c r="BS85" i="1"/>
  <c r="BG85" i="1"/>
  <c r="BL85" i="1" s="1"/>
  <c r="BS83" i="1"/>
  <c r="BO59" i="1"/>
  <c r="BR59" i="1" s="1"/>
  <c r="BF59" i="1"/>
  <c r="BM59" i="1" s="1"/>
  <c r="BG59" i="1"/>
  <c r="BL59" i="1" s="1"/>
  <c r="BN118" i="1"/>
  <c r="BG17" i="1"/>
  <c r="BF17" i="1"/>
  <c r="BM17" i="1" s="1"/>
  <c r="BO17" i="1"/>
  <c r="BR17" i="1" s="1"/>
  <c r="BS17" i="1" s="1"/>
  <c r="BG25" i="1"/>
  <c r="BO25" i="1"/>
  <c r="BF25" i="1"/>
  <c r="BM25" i="1" s="1"/>
  <c r="BS25" i="1"/>
  <c r="BS44" i="1"/>
  <c r="BR38" i="1"/>
  <c r="BG26" i="1"/>
  <c r="BF26" i="1"/>
  <c r="BM26" i="1" s="1"/>
  <c r="BO26" i="1"/>
  <c r="BR26" i="1" s="1"/>
  <c r="BR28" i="1"/>
  <c r="BS28" i="1" s="1"/>
  <c r="BR50" i="1"/>
  <c r="BS50" i="1" s="1"/>
  <c r="BS41" i="1"/>
  <c r="BO106" i="1"/>
  <c r="BF106" i="1"/>
  <c r="BG106" i="1"/>
  <c r="BL106" i="1" s="1"/>
  <c r="BL38" i="1"/>
  <c r="AQ27" i="1"/>
  <c r="AR27" i="1" s="1"/>
  <c r="BL52" i="1"/>
  <c r="BS112" i="1"/>
  <c r="BO112" i="1"/>
  <c r="BR112" i="1" s="1"/>
  <c r="BG112" i="1"/>
  <c r="BF112" i="1"/>
  <c r="BM112" i="1" s="1"/>
  <c r="BS97" i="1"/>
  <c r="BG97" i="1"/>
  <c r="BL97" i="1" s="1"/>
  <c r="BO97" i="1"/>
  <c r="BF97" i="1"/>
  <c r="BG13" i="1"/>
  <c r="BF13" i="1"/>
  <c r="BM13" i="1" s="1"/>
  <c r="BO13" i="1"/>
  <c r="BR13" i="1" s="1"/>
  <c r="BO21" i="1"/>
  <c r="BG21" i="1"/>
  <c r="BF21" i="1"/>
  <c r="BM21" i="1" s="1"/>
  <c r="AQ43" i="1"/>
  <c r="AR43" i="1" s="1"/>
  <c r="AP17" i="1"/>
  <c r="AQ17" i="1" s="1"/>
  <c r="AR17" i="1" s="1"/>
  <c r="BL78" i="1"/>
  <c r="BL110" i="1"/>
  <c r="BS46" i="1"/>
  <c r="BS11" i="1"/>
  <c r="BR82" i="1"/>
  <c r="BS82" i="1" s="1"/>
  <c r="BR67" i="1"/>
  <c r="BS67" i="1" s="1"/>
  <c r="BR81" i="1"/>
  <c r="BS81" i="1" s="1"/>
  <c r="BE118" i="1"/>
  <c r="BS104" i="1"/>
  <c r="BF104" i="1"/>
  <c r="BG104" i="1"/>
  <c r="BL104" i="1" s="1"/>
  <c r="BO104" i="1"/>
  <c r="BR104" i="1" s="1"/>
  <c r="BO61" i="1"/>
  <c r="BS61" i="1"/>
  <c r="BG61" i="1"/>
  <c r="BL61" i="1" s="1"/>
  <c r="BM61" i="1"/>
  <c r="BF61" i="1"/>
  <c r="BG56" i="1"/>
  <c r="BL56" i="1" s="1"/>
  <c r="BO56" i="1"/>
  <c r="BR56" i="1" s="1"/>
  <c r="BF56" i="1"/>
  <c r="BM56" i="1"/>
  <c r="BS56" i="1"/>
  <c r="AP63" i="1"/>
  <c r="AQ63" i="1" s="1"/>
  <c r="AR63" i="1" s="1"/>
  <c r="BR95" i="1"/>
  <c r="BG103" i="1"/>
  <c r="BL103" i="1" s="1"/>
  <c r="BO103" i="1"/>
  <c r="BF103" i="1"/>
  <c r="BM103" i="1" s="1"/>
  <c r="BG18" i="1"/>
  <c r="BL18" i="1" s="1"/>
  <c r="BM18" i="1"/>
  <c r="BS18" i="1"/>
  <c r="BF18" i="1"/>
  <c r="BO18" i="1"/>
  <c r="BR18" i="1" s="1"/>
  <c r="BG108" i="1"/>
  <c r="BO108" i="1"/>
  <c r="BS108" i="1" s="1"/>
  <c r="BF108" i="1"/>
  <c r="BM108" i="1" s="1"/>
  <c r="BG40" i="1"/>
  <c r="BL40" i="1" s="1"/>
  <c r="BF40" i="1"/>
  <c r="BM40" i="1" s="1"/>
  <c r="BO40" i="1"/>
  <c r="BO66" i="1"/>
  <c r="BF66" i="1"/>
  <c r="BM66" i="1" s="1"/>
  <c r="BG66" i="1"/>
  <c r="BR62" i="1"/>
  <c r="BM109" i="1"/>
  <c r="BL83" i="1"/>
  <c r="BD118" i="1"/>
  <c r="BG9" i="1"/>
  <c r="BF9" i="1"/>
  <c r="BO9" i="1"/>
  <c r="BR52" i="1"/>
  <c r="BR43" i="1"/>
  <c r="BL32" i="1"/>
  <c r="BL12" i="1"/>
  <c r="BL62" i="1"/>
  <c r="BL16" i="1"/>
  <c r="BM60" i="1"/>
  <c r="BS30" i="1"/>
  <c r="BF30" i="1"/>
  <c r="BM30" i="1" s="1"/>
  <c r="BO30" i="1"/>
  <c r="BR30" i="1" s="1"/>
  <c r="BG30" i="1"/>
  <c r="BR55" i="1"/>
  <c r="BG88" i="1"/>
  <c r="BF88" i="1"/>
  <c r="BM88" i="1" s="1"/>
  <c r="BO88" i="1"/>
  <c r="AP86" i="1"/>
  <c r="AQ86" i="1" s="1"/>
  <c r="AR86" i="1" s="1"/>
  <c r="BL44" i="1"/>
  <c r="BG53" i="1"/>
  <c r="BF53" i="1"/>
  <c r="BM53" i="1" s="1"/>
  <c r="BO53" i="1"/>
  <c r="BR53" i="1" s="1"/>
  <c r="AP84" i="1"/>
  <c r="BL79" i="1"/>
  <c r="BR29" i="1"/>
  <c r="BR25" i="1"/>
  <c r="BR108" i="1"/>
  <c r="AP103" i="1"/>
  <c r="AQ103" i="1" s="1"/>
  <c r="AR103" i="1" s="1"/>
  <c r="BS32" i="1"/>
  <c r="BS20" i="1"/>
  <c r="BL27" i="1"/>
  <c r="BS62" i="1"/>
  <c r="BS60" i="1"/>
  <c r="BL87" i="1"/>
  <c r="BS55" i="1"/>
  <c r="BG55" i="1"/>
  <c r="BF55" i="1"/>
  <c r="BM55" i="1" s="1"/>
  <c r="BO55" i="1"/>
  <c r="BS19" i="1"/>
  <c r="BG115" i="1"/>
  <c r="BO115" i="1"/>
  <c r="BR115" i="1" s="1"/>
  <c r="BS115" i="1" s="1"/>
  <c r="BF115" i="1"/>
  <c r="BM115" i="1" s="1"/>
  <c r="BR84" i="1"/>
  <c r="BO64" i="1"/>
  <c r="BR64" i="1" s="1"/>
  <c r="BG64" i="1"/>
  <c r="BF64" i="1"/>
  <c r="BM64" i="1"/>
  <c r="BG36" i="1"/>
  <c r="BF36" i="1"/>
  <c r="BM36" i="1" s="1"/>
  <c r="BO36" i="1"/>
  <c r="BR36" i="1" s="1"/>
  <c r="BS36" i="1" s="1"/>
  <c r="BR21" i="1"/>
  <c r="BS21" i="1" s="1"/>
  <c r="AP9" i="1"/>
  <c r="BO102" i="1"/>
  <c r="BF102" i="1"/>
  <c r="BM102" i="1"/>
  <c r="BG102" i="1"/>
  <c r="BL102" i="1" s="1"/>
  <c r="BR106" i="1"/>
  <c r="BS106" i="1" s="1"/>
  <c r="BM47" i="1"/>
  <c r="BO47" i="1"/>
  <c r="BR47" i="1" s="1"/>
  <c r="BG47" i="1"/>
  <c r="BF47" i="1"/>
  <c r="BO94" i="1"/>
  <c r="BR94" i="1" s="1"/>
  <c r="BG94" i="1"/>
  <c r="BS94" i="1"/>
  <c r="BF94" i="1"/>
  <c r="BM94" i="1"/>
  <c r="BR74" i="1"/>
  <c r="BS74" i="1" s="1"/>
  <c r="BS91" i="1"/>
  <c r="BG72" i="1"/>
  <c r="BF72" i="1"/>
  <c r="BM72" i="1" s="1"/>
  <c r="BO72" i="1"/>
  <c r="BR72" i="1" s="1"/>
  <c r="BM39" i="1"/>
  <c r="BF39" i="1"/>
  <c r="BO39" i="1"/>
  <c r="BG39" i="1"/>
  <c r="BR111" i="1"/>
  <c r="BO65" i="1"/>
  <c r="BR65" i="1" s="1"/>
  <c r="BF65" i="1"/>
  <c r="BM65" i="1" s="1"/>
  <c r="BG65" i="1"/>
  <c r="BS24" i="1"/>
  <c r="BL33" i="1"/>
  <c r="BO93" i="1"/>
  <c r="BR93" i="1" s="1"/>
  <c r="BF93" i="1"/>
  <c r="BG93" i="1"/>
  <c r="BL93" i="1" s="1"/>
  <c r="BG105" i="1"/>
  <c r="BO105" i="1"/>
  <c r="BR105" i="1" s="1"/>
  <c r="BS105" i="1" s="1"/>
  <c r="BF105" i="1"/>
  <c r="BM105" i="1"/>
  <c r="BS68" i="1"/>
  <c r="BF68" i="1"/>
  <c r="BM68" i="1" s="1"/>
  <c r="BO68" i="1"/>
  <c r="BR68" i="1" s="1"/>
  <c r="BG68" i="1"/>
  <c r="BF63" i="1"/>
  <c r="BM63" i="1" s="1"/>
  <c r="BG63" i="1"/>
  <c r="BL63" i="1" s="1"/>
  <c r="BO63" i="1"/>
  <c r="BR54" i="1"/>
  <c r="BS54" i="1" s="1"/>
  <c r="BR98" i="1"/>
  <c r="BL19" i="1"/>
  <c r="BS78" i="1"/>
  <c r="BS70" i="1"/>
  <c r="BS27" i="1"/>
  <c r="BS63" i="1" l="1"/>
  <c r="BR102" i="1"/>
  <c r="BS102" i="1" s="1"/>
  <c r="BL17" i="1"/>
  <c r="BS59" i="1"/>
  <c r="BL101" i="1"/>
  <c r="BR86" i="1"/>
  <c r="BS86" i="1" s="1"/>
  <c r="BL75" i="1"/>
  <c r="BL72" i="1"/>
  <c r="BL94" i="1"/>
  <c r="BL115" i="1"/>
  <c r="BS53" i="1"/>
  <c r="BG118" i="1"/>
  <c r="BL9" i="1"/>
  <c r="BL108" i="1"/>
  <c r="BM104" i="1"/>
  <c r="BL21" i="1"/>
  <c r="BM106" i="1"/>
  <c r="BS26" i="1"/>
  <c r="BS101" i="1"/>
  <c r="BM73" i="1"/>
  <c r="BL95" i="1"/>
  <c r="BS75" i="1"/>
  <c r="BL43" i="1"/>
  <c r="BS49" i="1"/>
  <c r="BS42" i="1"/>
  <c r="BS107" i="1"/>
  <c r="BM93" i="1"/>
  <c r="BS47" i="1"/>
  <c r="BL55" i="1"/>
  <c r="BL88" i="1"/>
  <c r="BR63" i="1"/>
  <c r="BS65" i="1"/>
  <c r="BO118" i="1"/>
  <c r="BL111" i="1"/>
  <c r="BS37" i="1"/>
  <c r="BS69" i="1"/>
  <c r="BF118" i="1"/>
  <c r="BR66" i="1"/>
  <c r="BS66" i="1" s="1"/>
  <c r="BS13" i="1"/>
  <c r="BL112" i="1"/>
  <c r="BL49" i="1"/>
  <c r="BL39" i="1"/>
  <c r="BL105" i="1"/>
  <c r="BS72" i="1"/>
  <c r="BS64" i="1"/>
  <c r="BL25" i="1"/>
  <c r="BR9" i="1"/>
  <c r="BS9" i="1" s="1"/>
  <c r="BS118" i="1" s="1"/>
  <c r="BL76" i="1"/>
  <c r="BL10" i="1"/>
  <c r="BR39" i="1"/>
  <c r="BS39" i="1" s="1"/>
  <c r="BS73" i="1"/>
  <c r="BL90" i="1"/>
  <c r="BR40" i="1"/>
  <c r="BS40" i="1" s="1"/>
  <c r="BL51" i="1"/>
  <c r="BM81" i="1"/>
  <c r="BL99" i="1"/>
  <c r="BM37" i="1"/>
  <c r="BM69" i="1"/>
  <c r="BL96" i="1"/>
  <c r="BS14" i="1"/>
  <c r="BL29" i="1"/>
  <c r="BS51" i="1"/>
  <c r="BL74" i="1"/>
  <c r="BM42" i="1"/>
  <c r="BL84" i="1"/>
  <c r="AP118" i="1"/>
  <c r="BM85" i="1"/>
  <c r="BL13" i="1"/>
  <c r="BS22" i="1"/>
  <c r="BL64" i="1"/>
  <c r="BL53" i="1"/>
  <c r="BL68" i="1"/>
  <c r="AQ9" i="1"/>
  <c r="BL30" i="1"/>
  <c r="BM9" i="1"/>
  <c r="BL66" i="1"/>
  <c r="BM97" i="1"/>
  <c r="BL26" i="1"/>
  <c r="BS76" i="1"/>
  <c r="BS93" i="1"/>
  <c r="BL65" i="1"/>
  <c r="BL47" i="1"/>
  <c r="BL36" i="1"/>
  <c r="BS48" i="1"/>
  <c r="BS96" i="1"/>
  <c r="BL14" i="1"/>
  <c r="BL71" i="1"/>
  <c r="BL107" i="1"/>
  <c r="AQ118" i="1" l="1"/>
  <c r="AR9" i="1"/>
  <c r="AR118" i="1" s="1"/>
  <c r="BL118" i="1"/>
  <c r="BR118" i="1"/>
  <c r="BM118" i="1"/>
</calcChain>
</file>

<file path=xl/sharedStrings.xml><?xml version="1.0" encoding="utf-8"?>
<sst xmlns="http://schemas.openxmlformats.org/spreadsheetml/2006/main" count="1671" uniqueCount="909">
  <si>
    <t>BALAJI INFRASTUCTURE, NANDURBAR</t>
  </si>
  <si>
    <t>SUZLON ENERGY LTD (DHULE)</t>
  </si>
  <si>
    <t>Plot No 9, Ambika Colony, Janata Raja Chouk,</t>
  </si>
  <si>
    <t>Details of Payment and Billing.</t>
  </si>
  <si>
    <t>Nandurbar, Maharastra</t>
  </si>
  <si>
    <t>As per the minimum wages act.</t>
  </si>
  <si>
    <t>Nandurbar-425412</t>
  </si>
  <si>
    <t>BILL FOR JUN 2026</t>
  </si>
  <si>
    <t>MEMBER DETAILS</t>
  </si>
  <si>
    <t>DAYS DATA</t>
  </si>
  <si>
    <t>Rates</t>
  </si>
  <si>
    <t>Earnings</t>
  </si>
  <si>
    <t>Deductions</t>
  </si>
  <si>
    <t>BILLING SUMMARY</t>
  </si>
  <si>
    <t>S.NO.</t>
  </si>
  <si>
    <t xml:space="preserve">Gate No. </t>
  </si>
  <si>
    <t>BALAJI EMP Code</t>
  </si>
  <si>
    <t>NAME</t>
  </si>
  <si>
    <t>FATHER NAME</t>
  </si>
  <si>
    <t>SEX</t>
  </si>
  <si>
    <t>ADD.</t>
  </si>
  <si>
    <t>DOB</t>
  </si>
  <si>
    <t>DOJ</t>
  </si>
  <si>
    <t>ADHAR NO.</t>
  </si>
  <si>
    <t>BANK NAME</t>
  </si>
  <si>
    <t>A/C NO.</t>
  </si>
  <si>
    <t>IFSC CODE.</t>
  </si>
  <si>
    <t>UAN No.</t>
  </si>
  <si>
    <t>ESIC NO</t>
  </si>
  <si>
    <t>MOBILE NO</t>
  </si>
  <si>
    <t>NONINEE NAME</t>
  </si>
  <si>
    <t>Department</t>
  </si>
  <si>
    <t>Designation</t>
  </si>
  <si>
    <t>CATEGORY</t>
  </si>
  <si>
    <t>Calculation Days</t>
  </si>
  <si>
    <t>TOATL WORK DAYS</t>
  </si>
  <si>
    <t>C Off</t>
  </si>
  <si>
    <t>PH</t>
  </si>
  <si>
    <t>Total Paid Days</t>
  </si>
  <si>
    <t>SITE ALLOWANCE WORK HRS</t>
  </si>
  <si>
    <t xml:space="preserve">ARREAR PAY </t>
  </si>
  <si>
    <t>CANTEEN</t>
  </si>
  <si>
    <t>ADVANCE</t>
  </si>
  <si>
    <t>Other DED</t>
  </si>
  <si>
    <t>Basic</t>
  </si>
  <si>
    <t>HRA</t>
  </si>
  <si>
    <t>CCA / Site Allowance</t>
  </si>
  <si>
    <t>Attendence Bouns</t>
  </si>
  <si>
    <t>BONUS</t>
  </si>
  <si>
    <t>Leave Encashment</t>
  </si>
  <si>
    <t xml:space="preserve"> Gross Salary</t>
  </si>
  <si>
    <t xml:space="preserve">Transport </t>
  </si>
  <si>
    <t>PF 13%</t>
  </si>
  <si>
    <t>ESIC 3.25%</t>
  </si>
  <si>
    <t>UNIFORM/SHOES</t>
  </si>
  <si>
    <t>SERVICES 7%</t>
  </si>
  <si>
    <t>CTC</t>
  </si>
  <si>
    <t>PER DAY CTC</t>
  </si>
  <si>
    <t>SITE ALLOWANCE PAID RATE</t>
  </si>
  <si>
    <t xml:space="preserve">SITE ALLOWANCE BILLING RATE </t>
  </si>
  <si>
    <t>Incentive</t>
  </si>
  <si>
    <t>Bonus</t>
  </si>
  <si>
    <t>SITE ALLOWANCE</t>
  </si>
  <si>
    <t>PF 12%</t>
  </si>
  <si>
    <t>ESIC 0.75%</t>
  </si>
  <si>
    <t>P.Tax</t>
  </si>
  <si>
    <t>OTHER DED</t>
  </si>
  <si>
    <t xml:space="preserve">Canteen </t>
  </si>
  <si>
    <t>LWF</t>
  </si>
  <si>
    <t>Total Deduction</t>
  </si>
  <si>
    <t>Net Salary</t>
  </si>
  <si>
    <t>PF @13%</t>
  </si>
  <si>
    <t>ESIC/WC @ 3.25%</t>
  </si>
  <si>
    <t>Uniform Charges</t>
  </si>
  <si>
    <t>Admin Charges Rate</t>
  </si>
  <si>
    <t>BI02</t>
  </si>
  <si>
    <t>AMAR PRATAPSING RAJPUT</t>
  </si>
  <si>
    <t>PRATAPSING RAJPUT</t>
  </si>
  <si>
    <t>Male</t>
  </si>
  <si>
    <t>Shanimadal Tal Nandurbar</t>
  </si>
  <si>
    <t>01.07.1995</t>
  </si>
  <si>
    <t>20.09.2023</t>
  </si>
  <si>
    <t>MAHARASHTRA GRAMIN BANK</t>
  </si>
  <si>
    <t>80056884498</t>
  </si>
  <si>
    <t>MAHG0006001</t>
  </si>
  <si>
    <t>102002801526</t>
  </si>
  <si>
    <t>2504643591</t>
  </si>
  <si>
    <t>P.M. PAINTING</t>
  </si>
  <si>
    <t>ITI</t>
  </si>
  <si>
    <t>SKILLED</t>
  </si>
  <si>
    <t>27</t>
  </si>
  <si>
    <t>BI07</t>
  </si>
  <si>
    <t>BHUSHAN ANANDA GHODES</t>
  </si>
  <si>
    <t>ANANDA GHODSE</t>
  </si>
  <si>
    <t>Titane Tal Sakri,Dhule</t>
  </si>
  <si>
    <t>10.03.1998</t>
  </si>
  <si>
    <t>STATE BANK OF INDIA</t>
  </si>
  <si>
    <t>33226966020</t>
  </si>
  <si>
    <t>SBIN0003846</t>
  </si>
  <si>
    <t>101998412316</t>
  </si>
  <si>
    <t>2504643755</t>
  </si>
  <si>
    <t>TAIL GIRDER</t>
  </si>
  <si>
    <t>BI09</t>
  </si>
  <si>
    <t>DHANRAJ YUVRAJ BACHHAV</t>
  </si>
  <si>
    <t>YUVRAJ BACHHAV</t>
  </si>
  <si>
    <t>Khori Tal sakri</t>
  </si>
  <si>
    <t>12.07.1994</t>
  </si>
  <si>
    <t>CENTRAL BANK OF INDIA</t>
  </si>
  <si>
    <t>CBIN0282048</t>
  </si>
  <si>
    <t>101286824507</t>
  </si>
  <si>
    <t>MAIN MOULD ONE FORTY SEVEN</t>
  </si>
  <si>
    <t>BI10</t>
  </si>
  <si>
    <t>DILVARASING VEDUSING RAJPUT</t>
  </si>
  <si>
    <t>VEDUSING RAJPUT</t>
  </si>
  <si>
    <t>Talwade Tal Nadurbar</t>
  </si>
  <si>
    <t>13.10.2000</t>
  </si>
  <si>
    <t>80016920060</t>
  </si>
  <si>
    <t>101998412242</t>
  </si>
  <si>
    <t>2504643774</t>
  </si>
  <si>
    <t>BI12</t>
  </si>
  <si>
    <t>DHANANJAY SHRIDHAR SONAWANE</t>
  </si>
  <si>
    <t>SHRIDHAR SONAWANE</t>
  </si>
  <si>
    <t xml:space="preserve">Chhadvel KordeTal Sakri dhule </t>
  </si>
  <si>
    <t>10.12.1998</t>
  </si>
  <si>
    <t>CBIN0282284</t>
  </si>
  <si>
    <t>100524892176</t>
  </si>
  <si>
    <t>2504644649</t>
  </si>
  <si>
    <t>BI13</t>
  </si>
  <si>
    <t>GURUDAS HILAL THAKARE</t>
  </si>
  <si>
    <t>HILAL THAKARE</t>
  </si>
  <si>
    <t>28.07.1994</t>
  </si>
  <si>
    <t>31904259684</t>
  </si>
  <si>
    <t>SBIN0009335</t>
  </si>
  <si>
    <t>101998412257</t>
  </si>
  <si>
    <t>2504644779</t>
  </si>
  <si>
    <t xml:space="preserve">PREFAB CARBON GIRDER </t>
  </si>
  <si>
    <t>BI14</t>
  </si>
  <si>
    <t>HIRALAL BRIJLAL KOKANI</t>
  </si>
  <si>
    <t>BRIJLAL KOKANI</t>
  </si>
  <si>
    <t>Navapada tal Sakri</t>
  </si>
  <si>
    <t>25.12.1990</t>
  </si>
  <si>
    <t>UNION BANK OF INDIA</t>
  </si>
  <si>
    <t>UBIN0534153</t>
  </si>
  <si>
    <t>101998410975</t>
  </si>
  <si>
    <t>2504721739</t>
  </si>
  <si>
    <t>BI16</t>
  </si>
  <si>
    <t>ISHWAR KARBHARI GAWALE</t>
  </si>
  <si>
    <t>KARBHARI GAWALE</t>
  </si>
  <si>
    <t>Bhamer Tal sakri, Dhule</t>
  </si>
  <si>
    <t>30.08.2002</t>
  </si>
  <si>
    <t>36000396801</t>
  </si>
  <si>
    <t>101932259863</t>
  </si>
  <si>
    <t>2504878491</t>
  </si>
  <si>
    <t>PRAFAB FINISHING</t>
  </si>
  <si>
    <t>BI18</t>
  </si>
  <si>
    <t>KUNAL PRALHAD PATIL</t>
  </si>
  <si>
    <t>PRALHAD PATIL</t>
  </si>
  <si>
    <t>27.12.2004</t>
  </si>
  <si>
    <t>101998410999</t>
  </si>
  <si>
    <t>2504644844</t>
  </si>
  <si>
    <t>BI20</t>
  </si>
  <si>
    <t>MANIK VEDU BACHHAV</t>
  </si>
  <si>
    <t>VEDU BACHHAV</t>
  </si>
  <si>
    <t>Khori Tal. Sakri, Dhule</t>
  </si>
  <si>
    <t>18.01.1991</t>
  </si>
  <si>
    <t>36080096916</t>
  </si>
  <si>
    <t>101998410906</t>
  </si>
  <si>
    <t>2504866138</t>
  </si>
  <si>
    <t>BI22</t>
  </si>
  <si>
    <t>NAGESHWAR RATAN RAJPUT</t>
  </si>
  <si>
    <t>RATAN RAJPUT</t>
  </si>
  <si>
    <t>25.04.1990</t>
  </si>
  <si>
    <t>345902120013464</t>
  </si>
  <si>
    <t>UBIN0534595</t>
  </si>
  <si>
    <t>101998412261</t>
  </si>
  <si>
    <t>2504647442</t>
  </si>
  <si>
    <t>BI23</t>
  </si>
  <si>
    <t>NILESH RAVSAHEB DAHITE</t>
  </si>
  <si>
    <t>RAVSAHEB DAHITE</t>
  </si>
  <si>
    <t>07.08.2003</t>
  </si>
  <si>
    <t>101998410910</t>
  </si>
  <si>
    <t>2504647447</t>
  </si>
  <si>
    <t>BALSA FOAM</t>
  </si>
  <si>
    <t>BI26</t>
  </si>
  <si>
    <t>PRASHANT BAPU SONAWANE</t>
  </si>
  <si>
    <t>BAPU SONAWANE</t>
  </si>
  <si>
    <t>24.05.1999</t>
  </si>
  <si>
    <t>101773531475</t>
  </si>
  <si>
    <t>3314819914</t>
  </si>
  <si>
    <t>P.M.SWAING DRILLING STUD</t>
  </si>
  <si>
    <t>BI28</t>
  </si>
  <si>
    <t>PAWAN SUBHASH SONAWANE</t>
  </si>
  <si>
    <t>SUBHASH SONAWANE</t>
  </si>
  <si>
    <t>19.11.1995</t>
  </si>
  <si>
    <t>101811169314</t>
  </si>
  <si>
    <t xml:space="preserve">GLASS CUTTING </t>
  </si>
  <si>
    <t>BI29</t>
  </si>
  <si>
    <t>PRATIK PANDHARINATH MAHIRE</t>
  </si>
  <si>
    <t>PANDHARINATH MAHIRE</t>
  </si>
  <si>
    <t>Shanimandal Tal Nandurbar</t>
  </si>
  <si>
    <t>10.12.1993</t>
  </si>
  <si>
    <t>345902010085748</t>
  </si>
  <si>
    <t>101998410923</t>
  </si>
  <si>
    <t>2504647493</t>
  </si>
  <si>
    <t>BI34</t>
  </si>
  <si>
    <t>RAJENDRA VANJI BAGUL</t>
  </si>
  <si>
    <t>VANJI BAGUL</t>
  </si>
  <si>
    <t>01.01.1996</t>
  </si>
  <si>
    <t>MAHG0005803</t>
  </si>
  <si>
    <t>100931744740</t>
  </si>
  <si>
    <t>2504647543</t>
  </si>
  <si>
    <t>BI36</t>
  </si>
  <si>
    <t>SUJIT RAJENDRA DEORE</t>
  </si>
  <si>
    <t>RAJENDRA DEORE</t>
  </si>
  <si>
    <t>Vaskhedi Tal Sakri</t>
  </si>
  <si>
    <t>27.05.2000</t>
  </si>
  <si>
    <t>101998410896</t>
  </si>
  <si>
    <t>2504647567</t>
  </si>
  <si>
    <t>MAIN MAOULD ONE FORTY EIGHT</t>
  </si>
  <si>
    <t>BI37</t>
  </si>
  <si>
    <t xml:space="preserve">SHANKAR LASHYA BAGUL </t>
  </si>
  <si>
    <t xml:space="preserve"> LASHYA BAGUL </t>
  </si>
  <si>
    <t>Pachale Tal Sakri</t>
  </si>
  <si>
    <t>02.05.1991</t>
  </si>
  <si>
    <t>101998410947</t>
  </si>
  <si>
    <t>2504647574</t>
  </si>
  <si>
    <t>BI41</t>
  </si>
  <si>
    <t>UMESH SUBHASH PATIL</t>
  </si>
  <si>
    <t>SUBHASH PATIL</t>
  </si>
  <si>
    <t>22.05.1999</t>
  </si>
  <si>
    <t>Bank Of India</t>
  </si>
  <si>
    <t>69410510008983</t>
  </si>
  <si>
    <t>BKID0000694</t>
  </si>
  <si>
    <t>102031492271</t>
  </si>
  <si>
    <t>2504647663</t>
  </si>
  <si>
    <t>BI42</t>
  </si>
  <si>
    <t>VINOD GULAB PAWAR</t>
  </si>
  <si>
    <t>GULAB PAWAR</t>
  </si>
  <si>
    <t>28.06.1990</t>
  </si>
  <si>
    <t>5489988326</t>
  </si>
  <si>
    <t>101998412300</t>
  </si>
  <si>
    <t>2504647705</t>
  </si>
  <si>
    <t>BI43</t>
  </si>
  <si>
    <t>YOGESH SHARAD DEORE</t>
  </si>
  <si>
    <t>SHARAD DEORE</t>
  </si>
  <si>
    <t>13.07.2000</t>
  </si>
  <si>
    <t>CBNI0282284</t>
  </si>
  <si>
    <t>101998410952</t>
  </si>
  <si>
    <t>2504647709</t>
  </si>
  <si>
    <t>BI44</t>
  </si>
  <si>
    <t>YUVRAJ BRIJLAL CHOUDHARI</t>
  </si>
  <si>
    <t>BRIJLAL CHOUDHARI</t>
  </si>
  <si>
    <t>Dhawali  Tal Sakri</t>
  </si>
  <si>
    <t>09.05.1983</t>
  </si>
  <si>
    <t>101998410968</t>
  </si>
  <si>
    <t>2504647711</t>
  </si>
  <si>
    <t>PRAFAB ROOT</t>
  </si>
  <si>
    <t>BI46</t>
  </si>
  <si>
    <t>YOGESH DIPAK GANGURDE</t>
  </si>
  <si>
    <t>DIPAK GANGURDE</t>
  </si>
  <si>
    <t>Pimpalner Tal sakri</t>
  </si>
  <si>
    <t>31.10.2000</t>
  </si>
  <si>
    <t>101862946277</t>
  </si>
  <si>
    <t>2504647713</t>
  </si>
  <si>
    <t>BI47</t>
  </si>
  <si>
    <t>YOGESH RAVINDRA PATIL</t>
  </si>
  <si>
    <t>RAVINDRA PATIL</t>
  </si>
  <si>
    <t>04.03.1996</t>
  </si>
  <si>
    <t>101935692043</t>
  </si>
  <si>
    <t>2504878484</t>
  </si>
  <si>
    <t>NSW TSW</t>
  </si>
  <si>
    <t>BI48</t>
  </si>
  <si>
    <t>YOGESHKUMAR SURESHCHANDRA GAWALE</t>
  </si>
  <si>
    <t>SURESHCHANDRA GAWALE</t>
  </si>
  <si>
    <t>09.12.1999</t>
  </si>
  <si>
    <t>101469905780</t>
  </si>
  <si>
    <t>BI49</t>
  </si>
  <si>
    <t>YUVRAJ PARSHURAM BARDE</t>
  </si>
  <si>
    <t>PARSHURAM BARDE</t>
  </si>
  <si>
    <t>06.03.1991</t>
  </si>
  <si>
    <t>102031514506</t>
  </si>
  <si>
    <t>2504878419</t>
  </si>
  <si>
    <t>BI50</t>
  </si>
  <si>
    <t>UJJWAL BHASKAR GANGURDE</t>
  </si>
  <si>
    <t>BHASHAR GANGURDE</t>
  </si>
  <si>
    <t>15.08.1980</t>
  </si>
  <si>
    <t>102011399698</t>
  </si>
  <si>
    <t>2504681598</t>
  </si>
  <si>
    <t>BI54</t>
  </si>
  <si>
    <t>KESHAV SAHEBRAO PAWAR</t>
  </si>
  <si>
    <t>SAHEBRAO PAWAR</t>
  </si>
  <si>
    <t>02.03.2005</t>
  </si>
  <si>
    <t>03.01.2024</t>
  </si>
  <si>
    <t>80041484500</t>
  </si>
  <si>
    <t>102039270152</t>
  </si>
  <si>
    <t>BI56</t>
  </si>
  <si>
    <t>DIPAK NAMDEV MALI</t>
  </si>
  <si>
    <t>NAMDEV MALI</t>
  </si>
  <si>
    <t>25.07.2002</t>
  </si>
  <si>
    <t>03.01.2023</t>
  </si>
  <si>
    <t>80044312300</t>
  </si>
  <si>
    <t>102039270175</t>
  </si>
  <si>
    <t>BI60</t>
  </si>
  <si>
    <t>AJIT KISAN GAVIT</t>
  </si>
  <si>
    <t>KISAN GAVIT</t>
  </si>
  <si>
    <t>Sinbun Tal Dhule</t>
  </si>
  <si>
    <t>08.12.1991</t>
  </si>
  <si>
    <t>5345959843</t>
  </si>
  <si>
    <t>102044272028</t>
  </si>
  <si>
    <t>2504714499</t>
  </si>
  <si>
    <t>BI61</t>
  </si>
  <si>
    <t>MACHHINDRA CHANDRASING PADAVI</t>
  </si>
  <si>
    <t>CHANDRASING PADAVI</t>
  </si>
  <si>
    <t>kathi Tal Akkalkuva</t>
  </si>
  <si>
    <t>13.02.1995</t>
  </si>
  <si>
    <t>33278372728</t>
  </si>
  <si>
    <t>SBIN0000435</t>
  </si>
  <si>
    <t>102044272016</t>
  </si>
  <si>
    <t>2504714525</t>
  </si>
  <si>
    <t>P.M.  REPAIR</t>
  </si>
  <si>
    <t>BI68</t>
  </si>
  <si>
    <t>NITIN JAGDEV BORASE</t>
  </si>
  <si>
    <t>JAGDEV BORASE</t>
  </si>
  <si>
    <t>Khori Tal Sakri</t>
  </si>
  <si>
    <t>01.01.2003</t>
  </si>
  <si>
    <t>100260328551</t>
  </si>
  <si>
    <t>2504878305</t>
  </si>
  <si>
    <t xml:space="preserve">NDT </t>
  </si>
  <si>
    <t>BI69</t>
  </si>
  <si>
    <t>VASANT KISAN MAHALE</t>
  </si>
  <si>
    <t>KISAN MAHALE</t>
  </si>
  <si>
    <t>Jaitane Tal Sakri</t>
  </si>
  <si>
    <t>09.09.1993</t>
  </si>
  <si>
    <t>102044271974</t>
  </si>
  <si>
    <t>2504714696</t>
  </si>
  <si>
    <t xml:space="preserve">MAINTENANCE </t>
  </si>
  <si>
    <t>BI70</t>
  </si>
  <si>
    <t>SAMADHAN GOKUL KHAIRNAR</t>
  </si>
  <si>
    <t>GOKUL KHAIRNAR</t>
  </si>
  <si>
    <t>13.05.1997</t>
  </si>
  <si>
    <t>102044272092</t>
  </si>
  <si>
    <t>2504714837</t>
  </si>
  <si>
    <t>P.M. SBMS LPS</t>
  </si>
  <si>
    <t>BI71</t>
  </si>
  <si>
    <t xml:space="preserve">HARSHAL GULAB SHINDE     </t>
  </si>
  <si>
    <t>GULAB SHINDE</t>
  </si>
  <si>
    <t>TITANE 424305</t>
  </si>
  <si>
    <t>05.03.2006</t>
  </si>
  <si>
    <t>102061056857</t>
  </si>
  <si>
    <t>2504714848</t>
  </si>
  <si>
    <t>BI75</t>
  </si>
  <si>
    <t>DHANRAJ RATAN CHAUHAN</t>
  </si>
  <si>
    <t>RATAN CHAUHAN</t>
  </si>
  <si>
    <t>01.06.1993</t>
  </si>
  <si>
    <t>101559624829</t>
  </si>
  <si>
    <t>RESIN MIXING</t>
  </si>
  <si>
    <t>BI80</t>
  </si>
  <si>
    <t>CHANDRAKALA HIRAMAN CHAUDHARY</t>
  </si>
  <si>
    <t>HIRAMAN CHAUDHARY</t>
  </si>
  <si>
    <t>Female</t>
  </si>
  <si>
    <t>27.08.1995</t>
  </si>
  <si>
    <t>08.01.2023</t>
  </si>
  <si>
    <t>102061056861</t>
  </si>
  <si>
    <t>2504715382</t>
  </si>
  <si>
    <t>BI82</t>
  </si>
  <si>
    <t xml:space="preserve">VIJAYA GANESH KOKANI </t>
  </si>
  <si>
    <t>GANESH KOKANI</t>
  </si>
  <si>
    <t>01.08.1988</t>
  </si>
  <si>
    <t>102044272085</t>
  </si>
  <si>
    <t>BI85</t>
  </si>
  <si>
    <t>ANJANA RAMESH CHAURE</t>
  </si>
  <si>
    <t>RAMESH CHAURE</t>
  </si>
  <si>
    <t>13.03.1993</t>
  </si>
  <si>
    <t>37977299506</t>
  </si>
  <si>
    <t>100783170010</t>
  </si>
  <si>
    <t>BI91</t>
  </si>
  <si>
    <t>HARSHAL ISHWAR AHIRAV</t>
  </si>
  <si>
    <t>ISHWAR AHIRAV</t>
  </si>
  <si>
    <t>HOUSE NO-454 KAMATWADA NASHIK (MH)</t>
  </si>
  <si>
    <t>29.03.1999</t>
  </si>
  <si>
    <t>09.02.2024</t>
  </si>
  <si>
    <t>953218210004105</t>
  </si>
  <si>
    <t>BKID0000807</t>
  </si>
  <si>
    <t>101404563621</t>
  </si>
  <si>
    <t>2504878412</t>
  </si>
  <si>
    <t xml:space="preserve"> QUALITY</t>
  </si>
  <si>
    <t>DIPLOMA</t>
  </si>
  <si>
    <t>SKILLED 1</t>
  </si>
  <si>
    <t>BI92</t>
  </si>
  <si>
    <t>PRAVIN NARAYAN GIRASE</t>
  </si>
  <si>
    <t>NARAYAN GIRASE</t>
  </si>
  <si>
    <t>MU POST-SHANIMANDAL NANDURBAR (MH)</t>
  </si>
  <si>
    <t>14.02.1998</t>
  </si>
  <si>
    <t>HDFC Bank</t>
  </si>
  <si>
    <t>50100538734040</t>
  </si>
  <si>
    <t>HDFC0001787</t>
  </si>
  <si>
    <t>102060214371</t>
  </si>
  <si>
    <t>BI99</t>
  </si>
  <si>
    <t>KALPESH SANJAY PATIL</t>
  </si>
  <si>
    <t>SANJAY PATIL</t>
  </si>
  <si>
    <t>TALWADE BK KHARDE NANDURBAR (MH)</t>
  </si>
  <si>
    <t>15.06.2003</t>
  </si>
  <si>
    <t>102060214328</t>
  </si>
  <si>
    <t xml:space="preserve"> MAIN MOULD ONE FORTY SEVEN</t>
  </si>
  <si>
    <t>BI100</t>
  </si>
  <si>
    <t>DINESH GULAB PAWAR</t>
  </si>
  <si>
    <t>AT-VISPUDE POST-DHANER TH-SAKRI DHULE (MH)</t>
  </si>
  <si>
    <t>03.05.2000</t>
  </si>
  <si>
    <t>101972150992</t>
  </si>
  <si>
    <t>BI108</t>
  </si>
  <si>
    <t>SACHIN DADAJI SURYAWANSHI</t>
  </si>
  <si>
    <t>DADAJI SURYAWANSHI</t>
  </si>
  <si>
    <t>MALE</t>
  </si>
  <si>
    <t>SWAMI VEVEKANAND CHAUK JALLANE DHULE (MH)</t>
  </si>
  <si>
    <t>09.02.1999</t>
  </si>
  <si>
    <t>28.06.2024</t>
  </si>
  <si>
    <t>102086739220</t>
  </si>
  <si>
    <t>2504880085</t>
  </si>
  <si>
    <t>PROSESS CANTROL</t>
  </si>
  <si>
    <t>BI110</t>
  </si>
  <si>
    <t>SHAILESH SAMBHAJI CHITTE</t>
  </si>
  <si>
    <t>SAMBHAJI CHITTE</t>
  </si>
  <si>
    <t>VADADE TAVKHEDA SINDKHEDA DHULE (MH)</t>
  </si>
  <si>
    <t>10.05.1998</t>
  </si>
  <si>
    <t>AXIS BANK</t>
  </si>
  <si>
    <t>UTIB0000862</t>
  </si>
  <si>
    <t>101180277073</t>
  </si>
  <si>
    <t>BI122</t>
  </si>
  <si>
    <t>SUBHASH HIRAMAN JAGTAP</t>
  </si>
  <si>
    <t>HIRAMAN JAGTAP</t>
  </si>
  <si>
    <t>AT-PACHALE, PO CHANDVEL SAKRI DHULE (MH)</t>
  </si>
  <si>
    <t>20.01.1993</t>
  </si>
  <si>
    <t>101774205395</t>
  </si>
  <si>
    <t>2504878476</t>
  </si>
  <si>
    <t>BI142</t>
  </si>
  <si>
    <t>RAJESH DINESH GHUGE</t>
  </si>
  <si>
    <t>DINESH GHUGE</t>
  </si>
  <si>
    <t>12.08.2003</t>
  </si>
  <si>
    <t>102087013247</t>
  </si>
  <si>
    <t>BI143</t>
  </si>
  <si>
    <t>JAYASHRI BHIMRAO KUWAR</t>
  </si>
  <si>
    <t>BHIMRAO PAWAR</t>
  </si>
  <si>
    <t>VASKEDI TAL SAKRI</t>
  </si>
  <si>
    <t>05.07.1994</t>
  </si>
  <si>
    <t>101745017344</t>
  </si>
  <si>
    <t>2504943390</t>
  </si>
  <si>
    <t>BI145</t>
  </si>
  <si>
    <t>PRAVIN RAM PAWAR</t>
  </si>
  <si>
    <t>RAM PAWAR</t>
  </si>
  <si>
    <t>DOMBI SHHADWEL KARDE SAKRI DHULE (MH)</t>
  </si>
  <si>
    <t>12.09.2001</t>
  </si>
  <si>
    <t>INDIAN BANK</t>
  </si>
  <si>
    <t>IDIB000N182</t>
  </si>
  <si>
    <t>102087013223</t>
  </si>
  <si>
    <t>BI147</t>
  </si>
  <si>
    <t>KHANDU RAMDAS THAKARE</t>
  </si>
  <si>
    <t>RAMDAS THAKARE</t>
  </si>
  <si>
    <t>CHHADWEL (KORDE) SAKRI DHULE</t>
  </si>
  <si>
    <t>04.08.2025</t>
  </si>
  <si>
    <t>102053044635</t>
  </si>
  <si>
    <t>BI149</t>
  </si>
  <si>
    <t>VIJAY LOTAN SONAWANE</t>
  </si>
  <si>
    <t>LOTAN SONAWANE</t>
  </si>
  <si>
    <t>BHAMER SAKRI DHULE (MH)</t>
  </si>
  <si>
    <t>21.11.1998</t>
  </si>
  <si>
    <t>101669415548</t>
  </si>
  <si>
    <t>1816542689</t>
  </si>
  <si>
    <t>BI151</t>
  </si>
  <si>
    <t xml:space="preserve">SAGAR KISHOR THAKARE </t>
  </si>
  <si>
    <t>KISHOR THAKARE</t>
  </si>
  <si>
    <t>SHANIMANDAL</t>
  </si>
  <si>
    <t>01.04.2003</t>
  </si>
  <si>
    <t>14.11.2024</t>
  </si>
  <si>
    <t>102015013963</t>
  </si>
  <si>
    <t>2504892284</t>
  </si>
  <si>
    <t>P.M. TOUCHUP</t>
  </si>
  <si>
    <t xml:space="preserve">BI152   </t>
  </si>
  <si>
    <t xml:space="preserve">BHIL JYOTIBA BHIKAN      </t>
  </si>
  <si>
    <t>JYOTIBA BHIL</t>
  </si>
  <si>
    <t xml:space="preserve">Titane </t>
  </si>
  <si>
    <t>07.11.2004</t>
  </si>
  <si>
    <t>102145198316</t>
  </si>
  <si>
    <t>2504887974</t>
  </si>
  <si>
    <t>BI153</t>
  </si>
  <si>
    <t xml:space="preserve">ROHIT DAGA MORE </t>
  </si>
  <si>
    <t>DAGA MORE</t>
  </si>
  <si>
    <t>P.M BALANCING VG</t>
  </si>
  <si>
    <t>BI156</t>
  </si>
  <si>
    <t>DIPAK UTTAM GAVIT</t>
  </si>
  <si>
    <t>UTTAM GAVIT</t>
  </si>
  <si>
    <t xml:space="preserve">Chipalipada </t>
  </si>
  <si>
    <t>14.04.1997</t>
  </si>
  <si>
    <t>CANARA BANK</t>
  </si>
  <si>
    <t>CNRB0005658</t>
  </si>
  <si>
    <t>102145198328</t>
  </si>
  <si>
    <t>P.M. DRAY FINISHING</t>
  </si>
  <si>
    <t>BI157</t>
  </si>
  <si>
    <t>RAHUL VIJAY DEORE</t>
  </si>
  <si>
    <t>VIJAY DEORE</t>
  </si>
  <si>
    <t>04.11.2024</t>
  </si>
  <si>
    <t>102004379613</t>
  </si>
  <si>
    <t>BI165</t>
  </si>
  <si>
    <t>PRAVIN RAMRAO VENDAIT</t>
  </si>
  <si>
    <t>RAMRAO VENDAIT</t>
  </si>
  <si>
    <t>Chhadwel Tal Sakri</t>
  </si>
  <si>
    <t>11.06.1988</t>
  </si>
  <si>
    <t>100513448097</t>
  </si>
  <si>
    <t>P.M.TOLL ROOM</t>
  </si>
  <si>
    <t>BI169</t>
  </si>
  <si>
    <t>AKASHDIP SUBHASH CHAURE</t>
  </si>
  <si>
    <t>SUBHASH CHAURE</t>
  </si>
  <si>
    <t>MU PO SUTARE NANDURBAR,Dist:Nandurbar,Maharashtra,425412</t>
  </si>
  <si>
    <t>13.10.1995</t>
  </si>
  <si>
    <t>18.11.2024</t>
  </si>
  <si>
    <t>696508239066</t>
  </si>
  <si>
    <t>34139371341</t>
  </si>
  <si>
    <t>101254778890</t>
  </si>
  <si>
    <t>BI170</t>
  </si>
  <si>
    <t>RAJENDRA DHARMA NYAHALDE</t>
  </si>
  <si>
    <t>DHARMA NYAHAIDE</t>
  </si>
  <si>
    <t>DHNGAR VADA SAKRI JAITANE NIZAMPUR SAKRI DHULE,Dist:Dhule,Maharashtra,424305</t>
  </si>
  <si>
    <t>28.12.1998</t>
  </si>
  <si>
    <t>25.11.2024</t>
  </si>
  <si>
    <t>531671276642</t>
  </si>
  <si>
    <t>34597353306</t>
  </si>
  <si>
    <t>102145199780</t>
  </si>
  <si>
    <t>BI173</t>
  </si>
  <si>
    <t>BHUSHAN RAVINDRA DHOBI</t>
  </si>
  <si>
    <t>RAVINDRA DHOBI</t>
  </si>
  <si>
    <t>MU TALWADE KHURD PO-SHANIMANDAL NANDURBAR,Dist:Nandurbar,Maharashtra,425408</t>
  </si>
  <si>
    <t>13.07.2003</t>
  </si>
  <si>
    <t>335432160145</t>
  </si>
  <si>
    <t>80025530658</t>
  </si>
  <si>
    <t>102145199934</t>
  </si>
  <si>
    <t>BI175</t>
  </si>
  <si>
    <t>KUNAL VIJAY PATIL</t>
  </si>
  <si>
    <t>VIJAY DADAJI PATIL</t>
  </si>
  <si>
    <t>SANT SAVATA CHAUK, AT PO-KHUDANE, TAL-SAKRI,Dist:Dhule,Maharashtra,424305</t>
  </si>
  <si>
    <t>17.10.2003</t>
  </si>
  <si>
    <t>452915576062</t>
  </si>
  <si>
    <t>5192249187</t>
  </si>
  <si>
    <t>102111650542</t>
  </si>
  <si>
    <t>BI176</t>
  </si>
  <si>
    <t>JIVAN RAJENDRA GAVALE</t>
  </si>
  <si>
    <t>RAJENDRA GAVALE</t>
  </si>
  <si>
    <t>BAHIRAM CHAUK NIJAMPUE DHULE,Dist:Dhule,Maharashtra,424305</t>
  </si>
  <si>
    <t>16.09.2002</t>
  </si>
  <si>
    <t>448151133904</t>
  </si>
  <si>
    <t>5321385808</t>
  </si>
  <si>
    <t>102128354623</t>
  </si>
  <si>
    <t>BI178</t>
  </si>
  <si>
    <t>SIDDHANT JITENDRA PATIL</t>
  </si>
  <si>
    <t>JITENDRA PATIL</t>
  </si>
  <si>
    <t>MU PO-SHANIMANDAL, NANDURBAR,Dist:Nandurbar,Maharashtra,425408</t>
  </si>
  <si>
    <t>22.10.2006</t>
  </si>
  <si>
    <t>564018749979</t>
  </si>
  <si>
    <t>8041603051</t>
  </si>
  <si>
    <t>102145199812</t>
  </si>
  <si>
    <t>BI180</t>
  </si>
  <si>
    <t>NILESH MADHAVRAO PATIL</t>
  </si>
  <si>
    <t>MADHAVRAO PATIL</t>
  </si>
  <si>
    <t>AT TALWADE PO KHAARDEKHURDE TA NANDURBAR,TALWADE BK,Dist:Nandurbar,Maharashtra,425408</t>
  </si>
  <si>
    <t>21.04.1999</t>
  </si>
  <si>
    <t>266284029144</t>
  </si>
  <si>
    <t>345902120009856</t>
  </si>
  <si>
    <t>101832541507</t>
  </si>
  <si>
    <t>BI181</t>
  </si>
  <si>
    <t>DINESH SAMBHU JADHAV</t>
  </si>
  <si>
    <t>SAMBHU JADHAV</t>
  </si>
  <si>
    <t>SWAMI VIVEKANAND CHAUK JAITANE NIZAMPUR DHULE,Dist:Dhule,Maharashtra,424305</t>
  </si>
  <si>
    <t>25.01.2004</t>
  </si>
  <si>
    <t>556707289080</t>
  </si>
  <si>
    <t>38953415375</t>
  </si>
  <si>
    <t>102145199798</t>
  </si>
  <si>
    <t>BI183</t>
  </si>
  <si>
    <t>DIPAK BHAIDAS SURYAWANSHI</t>
  </si>
  <si>
    <t>BHAIDAS SURYAWANSHI</t>
  </si>
  <si>
    <t>VASKHEDI DHULE,Dist:Dhule,Maharashtra,424305</t>
  </si>
  <si>
    <t>14.01.1997</t>
  </si>
  <si>
    <t>450131517604</t>
  </si>
  <si>
    <t>3953022178</t>
  </si>
  <si>
    <t>101282961850</t>
  </si>
  <si>
    <t>BI187</t>
  </si>
  <si>
    <t>AISHWARYA HASMAL SONAWNE</t>
  </si>
  <si>
    <t>HASMADH SONAWANE</t>
  </si>
  <si>
    <t>MAKRANIFALI ROAD, MSEB JAVAL SANJAYNAGAR,Dist:Nandurbar,Maharashtra,425415</t>
  </si>
  <si>
    <t>27.08.1998</t>
  </si>
  <si>
    <t>28.12.2024</t>
  </si>
  <si>
    <t>343644416692</t>
  </si>
  <si>
    <t>3489189974</t>
  </si>
  <si>
    <t>CBIN0282185</t>
  </si>
  <si>
    <t>102156297289</t>
  </si>
  <si>
    <t>BI188</t>
  </si>
  <si>
    <t>LAXMI GANESH JAGTAP</t>
  </si>
  <si>
    <t>GANESH JAGTAP</t>
  </si>
  <si>
    <t>AT-PACHAL, PO-CHHADWEL KORDE, CHADVEL, SAKRI, DHULE MH-424305</t>
  </si>
  <si>
    <t>22.12.2000</t>
  </si>
  <si>
    <t>14.01.2025</t>
  </si>
  <si>
    <t>274569100793</t>
  </si>
  <si>
    <t>102159207254</t>
  </si>
  <si>
    <t>BI197</t>
  </si>
  <si>
    <t>RAJ VIKRAM KAPDE</t>
  </si>
  <si>
    <t>VIKRAM KAPADE</t>
  </si>
  <si>
    <t>VTC-AKHADE,SAKRI, DHULE</t>
  </si>
  <si>
    <t>26.06.2000</t>
  </si>
  <si>
    <t>18.02.2025</t>
  </si>
  <si>
    <t>39615574594</t>
  </si>
  <si>
    <t>101749158579</t>
  </si>
  <si>
    <t>BI199</t>
  </si>
  <si>
    <t>CHETAN N GIRASE</t>
  </si>
  <si>
    <t>NIMBA GIRASE</t>
  </si>
  <si>
    <t>03.01.1997</t>
  </si>
  <si>
    <t>04.03.2025</t>
  </si>
  <si>
    <t>50100534286289</t>
  </si>
  <si>
    <t>102209324603</t>
  </si>
  <si>
    <t>BI204</t>
  </si>
  <si>
    <t>KALPESH GIRASE</t>
  </si>
  <si>
    <t>DILIP GIRASE</t>
  </si>
  <si>
    <t>20.08.2005</t>
  </si>
  <si>
    <t>18.04.2025</t>
  </si>
  <si>
    <t>80027414664</t>
  </si>
  <si>
    <t>102209324563</t>
  </si>
  <si>
    <t>P.M.INSIDE CLEANING</t>
  </si>
  <si>
    <t>BI205</t>
  </si>
  <si>
    <t>DEVENDRA GIRASE</t>
  </si>
  <si>
    <t>22.11.2000</t>
  </si>
  <si>
    <t>50100597578784</t>
  </si>
  <si>
    <t>HDFC0003547</t>
  </si>
  <si>
    <t>101887410558</t>
  </si>
  <si>
    <t>P.M. NOLE.TAILPAINTING</t>
  </si>
  <si>
    <t>BI206</t>
  </si>
  <si>
    <t>VINOD DEVIDAS PATIL</t>
  </si>
  <si>
    <t>DEVIDAS PATIL</t>
  </si>
  <si>
    <t>GURUKUL NAGAR NO 2 T HAVELI NANDURBAR</t>
  </si>
  <si>
    <t>01.06.1976</t>
  </si>
  <si>
    <t>20.04.2025</t>
  </si>
  <si>
    <t>01701050085996</t>
  </si>
  <si>
    <t>HDFC0000170</t>
  </si>
  <si>
    <t>100413082089</t>
  </si>
  <si>
    <t>POST  MOULD  SUP</t>
  </si>
  <si>
    <t>SUPERVISER</t>
  </si>
  <si>
    <t>SKILLED 2</t>
  </si>
  <si>
    <t>BI211</t>
  </si>
  <si>
    <t>BHARAT SAHADU NIKUMBH</t>
  </si>
  <si>
    <t>SAHADU NIKUMBHA</t>
  </si>
  <si>
    <t>CHHADWAL KORE DHULE MAHARASHTRA</t>
  </si>
  <si>
    <t>22.11.1997</t>
  </si>
  <si>
    <t>15.05.2025</t>
  </si>
  <si>
    <t xml:space="preserve">ICICI BANK </t>
  </si>
  <si>
    <t>049601512557</t>
  </si>
  <si>
    <t>ICIC0000496</t>
  </si>
  <si>
    <t>100524751762</t>
  </si>
  <si>
    <t>BI212</t>
  </si>
  <si>
    <t>RAMAKANT KALU AHIRE</t>
  </si>
  <si>
    <t>KALU AHIRE</t>
  </si>
  <si>
    <t>VALHAVE POST AMRHEL DHULE MAHARASHTRA</t>
  </si>
  <si>
    <t>4.04.1999</t>
  </si>
  <si>
    <t xml:space="preserve">STATE BANK OF INDIA </t>
  </si>
  <si>
    <t>102209324537</t>
  </si>
  <si>
    <t>BI214</t>
  </si>
  <si>
    <t>GANESH JAGAN JAGTAP</t>
  </si>
  <si>
    <t>JAGAN JAGTAP</t>
  </si>
  <si>
    <t>CHADVEL DIS DAKRI , DHULE MAHARASHTRA 424305</t>
  </si>
  <si>
    <t>30.06.1993</t>
  </si>
  <si>
    <t>29.05.2025</t>
  </si>
  <si>
    <t>31535660855</t>
  </si>
  <si>
    <t>100479859152</t>
  </si>
  <si>
    <t> 2505090547</t>
  </si>
  <si>
    <t>BI217</t>
  </si>
  <si>
    <t>RAHUL TIKARAM JAGTAP</t>
  </si>
  <si>
    <t>TIKARAM JAGTAP</t>
  </si>
  <si>
    <t>BODAKIKHADI POST KHARADBARI TAL SAKRI DIS DHULE</t>
  </si>
  <si>
    <t>02.05.2002</t>
  </si>
  <si>
    <t>102214665914</t>
  </si>
  <si>
    <t>BI219</t>
  </si>
  <si>
    <t>NILESH NIMBA MALI</t>
  </si>
  <si>
    <t>NIBHA MALI</t>
  </si>
  <si>
    <t>MU POST SHNIMANDAL NANDURBAR 425408</t>
  </si>
  <si>
    <t>11.07.1992</t>
  </si>
  <si>
    <t>80012710910</t>
  </si>
  <si>
    <t>102235172706</t>
  </si>
  <si>
    <t>BI220</t>
  </si>
  <si>
    <t>SAMADHAN MOTILAL PAGARE</t>
  </si>
  <si>
    <t>MOTILAL PAGARE</t>
  </si>
  <si>
    <t>JAY MALHAR CHOK JAITANE DHULE 424305</t>
  </si>
  <si>
    <t>15.10.2003</t>
  </si>
  <si>
    <t>THE HASTI CO-OP BANK LTD</t>
  </si>
  <si>
    <t>021002100003057</t>
  </si>
  <si>
    <t>HCBL0000121</t>
  </si>
  <si>
    <t>102209324528</t>
  </si>
  <si>
    <t>BI221</t>
  </si>
  <si>
    <t>VILAS ASHOK CHAVAN</t>
  </si>
  <si>
    <t>ASHOK CHAVAN</t>
  </si>
  <si>
    <t>MANGAL BAZAR MARATHA GALLI NANDURBAR 425412</t>
  </si>
  <si>
    <t>18.09.1982</t>
  </si>
  <si>
    <t>15.06.2025</t>
  </si>
  <si>
    <t>610333212557</t>
  </si>
  <si>
    <t>50100684211787</t>
  </si>
  <si>
    <t>102224064230</t>
  </si>
  <si>
    <t>2505032628</t>
  </si>
  <si>
    <t>SCORPIO DRIVING</t>
  </si>
  <si>
    <t>BI222</t>
  </si>
  <si>
    <t>GOPAL AMRUT MUJAGE</t>
  </si>
  <si>
    <t>AMRUT MUJAGE</t>
  </si>
  <si>
    <t>AT POST VASKHEDI TAL SAKRI DIST DHULE 424305</t>
  </si>
  <si>
    <t>14.08.1998</t>
  </si>
  <si>
    <t>13.09.2025</t>
  </si>
  <si>
    <t>762678021183</t>
  </si>
  <si>
    <t>34599168265</t>
  </si>
  <si>
    <t>101645433724</t>
  </si>
  <si>
    <t>8999102171</t>
  </si>
  <si>
    <t>BI223</t>
  </si>
  <si>
    <t xml:space="preserve">VIKAS BHARAT BEDSE       </t>
  </si>
  <si>
    <t>BHARAT BEDSE</t>
  </si>
  <si>
    <t>CHHADWEL KORDE SAKRI DHULE 424305</t>
  </si>
  <si>
    <t>15.12.1995</t>
  </si>
  <si>
    <t>26.09.2025</t>
  </si>
  <si>
    <t>889806876048</t>
  </si>
  <si>
    <t>3928787559</t>
  </si>
  <si>
    <t>100512496671</t>
  </si>
  <si>
    <t>9172703712</t>
  </si>
  <si>
    <t>BI224</t>
  </si>
  <si>
    <t xml:space="preserve">BHAIYA NARAYAN MORE      </t>
  </si>
  <si>
    <t>MU TALWADDE SHANIMANDAL</t>
  </si>
  <si>
    <t>01.01.1995</t>
  </si>
  <si>
    <t>11.04.2025</t>
  </si>
  <si>
    <t>MAHARASTRA GRAMIN BANK</t>
  </si>
  <si>
    <t>101250591754</t>
  </si>
  <si>
    <t> 2505095648</t>
  </si>
  <si>
    <t>BI225</t>
  </si>
  <si>
    <t xml:space="preserve">HEMANT RAVINDRA RATHOD   </t>
  </si>
  <si>
    <t>RAVINDRA GIRASE</t>
  </si>
  <si>
    <t>AT UDHALOD  CHIRKAN SHAHDHA</t>
  </si>
  <si>
    <t>23.06.2001</t>
  </si>
  <si>
    <t>06.11.2025</t>
  </si>
  <si>
    <t>BANK OF MAHARASTRA</t>
  </si>
  <si>
    <t>MAHB0000780</t>
  </si>
  <si>
    <t>102086740138</t>
  </si>
  <si>
    <t> 2505095623</t>
  </si>
  <si>
    <t>QUALITY</t>
  </si>
  <si>
    <t xml:space="preserve">BTECH ME </t>
  </si>
  <si>
    <t>BI227</t>
  </si>
  <si>
    <t>HEMRAJ SANJAY BHADANE</t>
  </si>
  <si>
    <t>SANJAY BHADANE</t>
  </si>
  <si>
    <t>60194573801</t>
  </si>
  <si>
    <t>MAHB0000366</t>
  </si>
  <si>
    <t>100513236785</t>
  </si>
  <si>
    <t>BI229</t>
  </si>
  <si>
    <t>JAYESH CHATUR SURYAWANSHI</t>
  </si>
  <si>
    <t>CHATUR GIRASE</t>
  </si>
  <si>
    <t>AT POST CHADWEL KORDE SAKRI DHULE</t>
  </si>
  <si>
    <t>13.10.2002</t>
  </si>
  <si>
    <t>11.07.2025</t>
  </si>
  <si>
    <t>SBI BRAMAHANVEL</t>
  </si>
  <si>
    <t>101999796635</t>
  </si>
  <si>
    <t>BI231</t>
  </si>
  <si>
    <t xml:space="preserve">KAILASH SUBHASH KHAIRNAR </t>
  </si>
  <si>
    <t>SUBHASH GIRASE</t>
  </si>
  <si>
    <t>AT POST TITANE SAKRI DHULE</t>
  </si>
  <si>
    <t>08.01.2004</t>
  </si>
  <si>
    <t>929365322709</t>
  </si>
  <si>
    <t>CENTRAL BANK JAITANE</t>
  </si>
  <si>
    <t>101871826169</t>
  </si>
  <si>
    <t>BI232</t>
  </si>
  <si>
    <t xml:space="preserve">NITIN CHHOTU SONAWANE    </t>
  </si>
  <si>
    <t>CHHOTU GIRASE</t>
  </si>
  <si>
    <t>AT POST CHHADWEL KORDE SAKRI DHULE</t>
  </si>
  <si>
    <t>25.03.1995</t>
  </si>
  <si>
    <t>591479 468548</t>
  </si>
  <si>
    <t>CENTRAL BANK CHADWEL KORDE</t>
  </si>
  <si>
    <t>101638342728</t>
  </si>
  <si>
    <t>BI233</t>
  </si>
  <si>
    <t xml:space="preserve">BALU JAGAN GAYKWAD       </t>
  </si>
  <si>
    <t>JAGAN GIRASE</t>
  </si>
  <si>
    <t>AT POST SINDHBAN SAKRI CHADWEL</t>
  </si>
  <si>
    <t>30.03.1981</t>
  </si>
  <si>
    <t>100678847755</t>
  </si>
  <si>
    <t xml:space="preserve">BI237   </t>
  </si>
  <si>
    <t xml:space="preserve">AMOL N PATIL             </t>
  </si>
  <si>
    <t xml:space="preserve">BI238   </t>
  </si>
  <si>
    <t xml:space="preserve">HARSHAL KAILAS MORE      </t>
  </si>
  <si>
    <t>KAILAS MORE</t>
  </si>
  <si>
    <t>AT POST TILALI , SHANIMANDAL , NANDURBAR</t>
  </si>
  <si>
    <t xml:space="preserve"> </t>
  </si>
  <si>
    <t>29.08.1998</t>
  </si>
  <si>
    <t>101637198644</t>
  </si>
  <si>
    <t>3312873278</t>
  </si>
  <si>
    <t>MAIN MOULD SUPERVISOR</t>
  </si>
  <si>
    <t xml:space="preserve">BI240   </t>
  </si>
  <si>
    <t xml:space="preserve">BHATU DAGAJI BORSE       </t>
  </si>
  <si>
    <t>DAGAJI BORSE</t>
  </si>
  <si>
    <t>POST KHORI, SAKRI DIST DHULE 424305</t>
  </si>
  <si>
    <t>23.11.2025</t>
  </si>
  <si>
    <t>19.07.1994</t>
  </si>
  <si>
    <t>102282937608</t>
  </si>
  <si>
    <t xml:space="preserve">BI241   </t>
  </si>
  <si>
    <t xml:space="preserve">HARSHAL BRAMHANE         </t>
  </si>
  <si>
    <t>HARSHAL BRAMHANE</t>
  </si>
  <si>
    <t>01.05.2008</t>
  </si>
  <si>
    <t>102280123410</t>
  </si>
  <si>
    <t>7822925054/9130578071</t>
  </si>
  <si>
    <t xml:space="preserve">BI242   </t>
  </si>
  <si>
    <t xml:space="preserve">VIRAJ SANJAY THAKUR      </t>
  </si>
  <si>
    <t>SANJAY THAKUR</t>
  </si>
  <si>
    <t>468/469 NEAR JPN HOSPITAL , PARDESHI PURA NANDURBAR 425412</t>
  </si>
  <si>
    <t>02.12.2025</t>
  </si>
  <si>
    <t>14.08.2001</t>
  </si>
  <si>
    <t>102276138763</t>
  </si>
  <si>
    <t>ELECTRIC MAINTANCE</t>
  </si>
  <si>
    <t xml:space="preserve">BI243   </t>
  </si>
  <si>
    <t xml:space="preserve">NARESH SHARAD THAKARE    </t>
  </si>
  <si>
    <t>SHARAD THAKARE</t>
  </si>
  <si>
    <t xml:space="preserve">VTC TITANE DHULE MAHARASHTRA </t>
  </si>
  <si>
    <t>08.12.2025</t>
  </si>
  <si>
    <t>21.11.2006</t>
  </si>
  <si>
    <t>102282512291</t>
  </si>
  <si>
    <t>PPC DEPT</t>
  </si>
  <si>
    <t xml:space="preserve">BI244   </t>
  </si>
  <si>
    <t>KAMLESH GANGADHAR KHANDER</t>
  </si>
  <si>
    <t>GANGADHAR KHANDER</t>
  </si>
  <si>
    <t>10.12.2025</t>
  </si>
  <si>
    <t>17.04.2005</t>
  </si>
  <si>
    <t xml:space="preserve">INDIA POST PAYMENT BANK </t>
  </si>
  <si>
    <t>032210291112</t>
  </si>
  <si>
    <t>IPOS0000001</t>
  </si>
  <si>
    <t>102282522322</t>
  </si>
  <si>
    <t>POST  MOULD  TUCHUP</t>
  </si>
  <si>
    <t xml:space="preserve">ITI </t>
  </si>
  <si>
    <t xml:space="preserve">BI246   </t>
  </si>
  <si>
    <t xml:space="preserve">PRUTHVIRAJ BAJIRAO CHAVHAN       </t>
  </si>
  <si>
    <t>BAJIRAO CHAVHAN</t>
  </si>
  <si>
    <t>13.05.1992</t>
  </si>
  <si>
    <t>100600826733</t>
  </si>
  <si>
    <t xml:space="preserve"> BI247  </t>
  </si>
  <si>
    <t xml:space="preserve"> SAGAR MAHENDRA NANDRE  </t>
  </si>
  <si>
    <t>MAHENDRA NANDRE</t>
  </si>
  <si>
    <t>AMKHEL SUB DIS SAKRI DIS DHULE 424305</t>
  </si>
  <si>
    <t>12.05.2007</t>
  </si>
  <si>
    <t>102308313204</t>
  </si>
  <si>
    <t xml:space="preserve"> BI248  </t>
  </si>
  <si>
    <t xml:space="preserve"> BHUSHAN RAVINDRA PATIL </t>
  </si>
  <si>
    <t>26.05.1996</t>
  </si>
  <si>
    <t>SBIN000435</t>
  </si>
  <si>
    <t>101502001153</t>
  </si>
  <si>
    <t xml:space="preserve">PREFAB </t>
  </si>
  <si>
    <t xml:space="preserve"> BI249  </t>
  </si>
  <si>
    <t xml:space="preserve"> MAYUR PREMRAJ PATIL    </t>
  </si>
  <si>
    <t>PREMRAJ PATIL</t>
  </si>
  <si>
    <t>MU BHORTEK DHULE MAHARASHTRA 425421</t>
  </si>
  <si>
    <t>16.05.1996</t>
  </si>
  <si>
    <t>101984868585</t>
  </si>
  <si>
    <t>TOOL ROOM</t>
  </si>
  <si>
    <t xml:space="preserve"> BI250  </t>
  </si>
  <si>
    <t xml:space="preserve"> NILESH PRAKASH AHIRE   </t>
  </si>
  <si>
    <t>PRAKASH AHIRE</t>
  </si>
  <si>
    <t>17.12.1988</t>
  </si>
  <si>
    <t>101043810403</t>
  </si>
  <si>
    <t>BI253</t>
  </si>
  <si>
    <t>KHUSHAL ISHWAR WAGH</t>
  </si>
  <si>
    <t>ISHWAR WAGH</t>
  </si>
  <si>
    <t>KORAD, CHADVEL SKARI DHULE MAHARASHTRA 424305</t>
  </si>
  <si>
    <t>19.05.2006</t>
  </si>
  <si>
    <t>102135670531</t>
  </si>
  <si>
    <t xml:space="preserve"> BI255</t>
  </si>
  <si>
    <t xml:space="preserve">HARISH KAILAS SONAVANE   </t>
  </si>
  <si>
    <t>KAILAS SONAVANE</t>
  </si>
  <si>
    <t>JAITANE ,DHULE MAHARASHTRA 424305</t>
  </si>
  <si>
    <t>24.10.2005</t>
  </si>
  <si>
    <t>102308324744</t>
  </si>
  <si>
    <t xml:space="preserve">BI260   </t>
  </si>
  <si>
    <t>NILESH DYANESHWAR MARATHE</t>
  </si>
  <si>
    <t>DNYANESHWAR MARATHE</t>
  </si>
  <si>
    <t>12.12.2001</t>
  </si>
  <si>
    <t>SBIN0010948</t>
  </si>
  <si>
    <t>101998648275</t>
  </si>
  <si>
    <t>B TECH</t>
  </si>
  <si>
    <t xml:space="preserve">BI261   </t>
  </si>
  <si>
    <t xml:space="preserve">HEMANT KISHOR BORSE      </t>
  </si>
  <si>
    <t>KISHOR BORSEE</t>
  </si>
  <si>
    <t>31.08.2005</t>
  </si>
  <si>
    <t>102314844742</t>
  </si>
  <si>
    <t>BI269</t>
  </si>
  <si>
    <t xml:space="preserve">RAHUL BHATU PAWAR        </t>
  </si>
  <si>
    <t>BHATU PAWARE</t>
  </si>
  <si>
    <t>KUTTARMARE DHULE MAHARASHTRA 424305</t>
  </si>
  <si>
    <t>26.11.2002</t>
  </si>
  <si>
    <t>03.04.2026</t>
  </si>
  <si>
    <t>HDFC0002809</t>
  </si>
  <si>
    <t>102155758412</t>
  </si>
  <si>
    <t>BI270</t>
  </si>
  <si>
    <t xml:space="preserve">YOGESH DADAJI BAGALE     </t>
  </si>
  <si>
    <t>DADAJI BAGALEE</t>
  </si>
  <si>
    <t>AT POST DAHIVEL TAL SAKRI DAHIWEL DHULE MAHARASHTRA 424304</t>
  </si>
  <si>
    <t>03.10.2005</t>
  </si>
  <si>
    <t>102306401452</t>
  </si>
  <si>
    <t>BI271</t>
  </si>
  <si>
    <t>HEMANT RAVINDRA PATIL</t>
  </si>
  <si>
    <t>RAVINDRA RATHODE</t>
  </si>
  <si>
    <t>INDRAPAST NAGAR NEW WATER TANKA SAKRI DHULE MAHARASHTRA 424304</t>
  </si>
  <si>
    <t>01.01.1989</t>
  </si>
  <si>
    <t>SBIN0002174</t>
  </si>
  <si>
    <t>101005541271</t>
  </si>
  <si>
    <t xml:space="preserve">BI288   </t>
  </si>
  <si>
    <t xml:space="preserve">VARSHA GAUTAM THAKARE    </t>
  </si>
  <si>
    <t>GAUTAM THAKARE</t>
  </si>
  <si>
    <t>MU PO TALWADE KHURDE POS SHANIMANDAL NANDURBAR MAHARASHTRA 425408</t>
  </si>
  <si>
    <t>01.01.2001</t>
  </si>
  <si>
    <t>101518727797</t>
  </si>
  <si>
    <t>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</si>
</sst>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[$-409]mmm\-yy;@"/>
    <numFmt numFmtId="166" formatCode="[$-409]d\-mmm\-yy;@"/>
    <numFmt numFmtId="167" formatCode="[$-409]d\-mmm\-yyyy;@"/>
    <numFmt numFmtId="168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Times New Roman"/>
      <family val="1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0" fontId="4" fillId="0" borderId="0">
      <alignment vertical="top"/>
    </xf>
    <xf numFmtId="0" fontId="4" fillId="0" borderId="0"/>
  </cellStyleXfs>
  <cellXfs count="114">
    <xf numFmtId="0" fontId="0" fillId="0" borderId="0" xfId="0"/>
    <xf numFmtId="0" fontId="3" fillId="0" borderId="0" xfId="0" applyFont="1"/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15" fontId="5" fillId="0" borderId="0" xfId="2" applyNumberFormat="1" applyFont="1" applyAlignment="1">
      <alignment horizontal="left" vertical="center"/>
    </xf>
    <xf numFmtId="15" fontId="5" fillId="0" borderId="0" xfId="2" applyNumberFormat="1" applyFont="1" applyAlignment="1">
      <alignment horizontal="left" vertical="center" shrinkToFit="1"/>
    </xf>
    <xf numFmtId="49" fontId="5" fillId="0" borderId="0" xfId="2" applyNumberFormat="1" applyFont="1" applyAlignment="1">
      <alignment horizontal="center" vertical="center"/>
    </xf>
    <xf numFmtId="15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3" fillId="0" borderId="0" xfId="3" applyFont="1" applyAlignment="1">
      <alignment vertical="center"/>
    </xf>
    <xf numFmtId="164" fontId="3" fillId="0" borderId="0" xfId="2" applyNumberFormat="1" applyFont="1" applyAlignment="1">
      <alignment horizontal="left" vertical="center"/>
    </xf>
    <xf numFmtId="165" fontId="6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left" vertical="center"/>
    </xf>
    <xf numFmtId="14" fontId="5" fillId="0" borderId="0" xfId="2" applyNumberFormat="1" applyFont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1" fontId="3" fillId="2" borderId="4" xfId="2" applyNumberFormat="1" applyFont="1" applyFill="1" applyBorder="1" applyAlignment="1">
      <alignment horizontal="center" vertical="center"/>
    </xf>
    <xf numFmtId="1" fontId="3" fillId="2" borderId="4" xfId="2" applyNumberFormat="1" applyFont="1" applyFill="1" applyBorder="1" applyAlignment="1">
      <alignment horizontal="center" vertical="center" wrapText="1"/>
    </xf>
    <xf numFmtId="15" fontId="3" fillId="2" borderId="4" xfId="2" applyNumberFormat="1" applyFont="1" applyFill="1" applyBorder="1" applyAlignment="1">
      <alignment horizontal="center" vertical="center"/>
    </xf>
    <xf numFmtId="15" fontId="3" fillId="2" borderId="4" xfId="2" applyNumberFormat="1" applyFont="1" applyFill="1" applyBorder="1" applyAlignment="1">
      <alignment horizontal="center" vertical="center" shrinkToFit="1"/>
    </xf>
    <xf numFmtId="49" fontId="3" fillId="2" borderId="4" xfId="2" applyNumberFormat="1" applyFont="1" applyFill="1" applyBorder="1" applyAlignment="1">
      <alignment horizontal="center" vertical="center"/>
    </xf>
    <xf numFmtId="15" fontId="3" fillId="2" borderId="4" xfId="2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3" fillId="4" borderId="4" xfId="2" applyFont="1" applyFill="1" applyBorder="1" applyAlignment="1">
      <alignment horizontal="center" vertical="center" wrapText="1"/>
    </xf>
    <xf numFmtId="0" fontId="3" fillId="5" borderId="4" xfId="2" applyFont="1" applyFill="1" applyBorder="1" applyAlignment="1">
      <alignment horizontal="center" vertical="center" wrapText="1"/>
    </xf>
    <xf numFmtId="0" fontId="3" fillId="6" borderId="4" xfId="2" applyFont="1" applyFill="1" applyBorder="1" applyAlignment="1">
      <alignment horizontal="center" vertical="center" wrapText="1"/>
    </xf>
    <xf numFmtId="0" fontId="10" fillId="7" borderId="4" xfId="2" applyFont="1" applyFill="1" applyBorder="1" applyAlignment="1">
      <alignment horizontal="center" vertical="center" wrapText="1"/>
    </xf>
    <xf numFmtId="0" fontId="11" fillId="7" borderId="4" xfId="2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1" fontId="5" fillId="8" borderId="4" xfId="2" quotePrefix="1" applyNumberFormat="1" applyFont="1" applyFill="1" applyBorder="1" applyAlignment="1">
      <alignment horizontal="center" vertical="center"/>
    </xf>
    <xf numFmtId="1" fontId="11" fillId="8" borderId="4" xfId="2" applyNumberFormat="1" applyFont="1" applyFill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 vertical="center"/>
    </xf>
    <xf numFmtId="0" fontId="13" fillId="0" borderId="4" xfId="2" applyFont="1" applyBorder="1" applyAlignment="1">
      <alignment horizontal="left" vertical="center"/>
    </xf>
    <xf numFmtId="0" fontId="5" fillId="8" borderId="4" xfId="2" applyFont="1" applyFill="1" applyBorder="1" applyAlignment="1">
      <alignment horizontal="left" vertical="center"/>
    </xf>
    <xf numFmtId="0" fontId="0" fillId="8" borderId="4" xfId="0" applyFill="1" applyBorder="1" applyAlignment="1">
      <alignment shrinkToFit="1"/>
    </xf>
    <xf numFmtId="0" fontId="0" fillId="8" borderId="4" xfId="0" applyFill="1" applyBorder="1"/>
    <xf numFmtId="14" fontId="5" fillId="8" borderId="4" xfId="2" applyNumberFormat="1" applyFont="1" applyFill="1" applyBorder="1" applyAlignment="1">
      <alignment horizontal="left" vertical="center"/>
    </xf>
    <xf numFmtId="1" fontId="14" fillId="8" borderId="4" xfId="0" applyNumberFormat="1" applyFont="1" applyFill="1" applyBorder="1" applyAlignment="1">
      <alignment horizontal="center"/>
    </xf>
    <xf numFmtId="15" fontId="5" fillId="8" borderId="4" xfId="2" applyNumberFormat="1" applyFont="1" applyFill="1" applyBorder="1" applyAlignment="1">
      <alignment horizontal="left" vertical="center"/>
    </xf>
    <xf numFmtId="49" fontId="5" fillId="8" borderId="4" xfId="2" applyNumberFormat="1" applyFont="1" applyFill="1" applyBorder="1" applyAlignment="1">
      <alignment horizontal="left" vertical="center"/>
    </xf>
    <xf numFmtId="0" fontId="0" fillId="0" borderId="4" xfId="0" applyBorder="1"/>
    <xf numFmtId="0" fontId="15" fillId="0" borderId="4" xfId="0" applyFont="1" applyBorder="1" applyAlignment="1">
      <alignment horizontal="center" vertical="top"/>
    </xf>
    <xf numFmtId="0" fontId="0" fillId="8" borderId="4" xfId="0" applyFill="1" applyBorder="1" applyAlignment="1">
      <alignment horizontal="left"/>
    </xf>
    <xf numFmtId="0" fontId="5" fillId="8" borderId="4" xfId="0" applyFont="1" applyFill="1" applyBorder="1" applyAlignment="1">
      <alignment horizontal="left" vertical="center"/>
    </xf>
    <xf numFmtId="49" fontId="3" fillId="8" borderId="4" xfId="0" applyNumberFormat="1" applyFont="1" applyFill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/>
    </xf>
    <xf numFmtId="0" fontId="3" fillId="8" borderId="4" xfId="0" applyFont="1" applyFill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/>
    </xf>
    <xf numFmtId="1" fontId="5" fillId="8" borderId="4" xfId="2" applyNumberFormat="1" applyFont="1" applyFill="1" applyBorder="1" applyAlignment="1">
      <alignment horizontal="center" vertical="center"/>
    </xf>
    <xf numFmtId="0" fontId="5" fillId="8" borderId="4" xfId="2" applyFont="1" applyFill="1" applyBorder="1" applyAlignment="1">
      <alignment horizontal="center" vertical="center"/>
    </xf>
    <xf numFmtId="2" fontId="5" fillId="8" borderId="4" xfId="2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168" fontId="5" fillId="8" borderId="4" xfId="1" applyFont="1" applyFill="1" applyBorder="1" applyAlignment="1">
      <alignment horizontal="center" vertical="center"/>
    </xf>
    <xf numFmtId="1" fontId="5" fillId="8" borderId="4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vertical="center"/>
    </xf>
    <xf numFmtId="1" fontId="5" fillId="0" borderId="4" xfId="2" applyNumberFormat="1" applyFont="1" applyBorder="1" applyAlignment="1">
      <alignment horizontal="center" vertical="center"/>
    </xf>
    <xf numFmtId="1" fontId="18" fillId="8" borderId="4" xfId="2" applyNumberFormat="1" applyFont="1" applyFill="1" applyBorder="1" applyAlignment="1">
      <alignment horizontal="center" vertical="center"/>
    </xf>
    <xf numFmtId="1" fontId="5" fillId="9" borderId="4" xfId="0" applyNumberFormat="1" applyFont="1" applyFill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0" fontId="5" fillId="8" borderId="0" xfId="2" applyFont="1" applyFill="1" applyAlignment="1">
      <alignment horizontal="center" vertical="center"/>
    </xf>
    <xf numFmtId="1" fontId="5" fillId="8" borderId="0" xfId="2" applyNumberFormat="1" applyFont="1" applyFill="1" applyAlignment="1">
      <alignment horizontal="center" vertical="center"/>
    </xf>
    <xf numFmtId="0" fontId="5" fillId="8" borderId="4" xfId="2" applyFont="1" applyFill="1" applyBorder="1" applyAlignment="1">
      <alignment vertical="center"/>
    </xf>
    <xf numFmtId="1" fontId="3" fillId="8" borderId="4" xfId="0" applyNumberFormat="1" applyFont="1" applyFill="1" applyBorder="1" applyAlignment="1">
      <alignment horizontal="center" vertical="center" wrapText="1"/>
    </xf>
    <xf numFmtId="49" fontId="5" fillId="8" borderId="4" xfId="2" quotePrefix="1" applyNumberFormat="1" applyFont="1" applyFill="1" applyBorder="1" applyAlignment="1">
      <alignment horizontal="left" vertical="center"/>
    </xf>
    <xf numFmtId="1" fontId="11" fillId="0" borderId="4" xfId="2" applyNumberFormat="1" applyFont="1" applyBorder="1" applyAlignment="1">
      <alignment horizontal="center" vertical="center"/>
    </xf>
    <xf numFmtId="15" fontId="5" fillId="0" borderId="4" xfId="2" applyNumberFormat="1" applyFont="1" applyBorder="1" applyAlignment="1">
      <alignment horizontal="left" vertical="center"/>
    </xf>
    <xf numFmtId="2" fontId="5" fillId="0" borderId="4" xfId="2" applyNumberFormat="1" applyFont="1" applyBorder="1" applyAlignment="1">
      <alignment horizontal="center" vertical="center"/>
    </xf>
    <xf numFmtId="0" fontId="13" fillId="8" borderId="4" xfId="2" applyFont="1" applyFill="1" applyBorder="1" applyAlignment="1">
      <alignment horizontal="left" vertical="center"/>
    </xf>
    <xf numFmtId="0" fontId="15" fillId="8" borderId="4" xfId="0" applyFont="1" applyFill="1" applyBorder="1" applyAlignment="1">
      <alignment horizontal="center" vertical="top"/>
    </xf>
    <xf numFmtId="15" fontId="5" fillId="0" borderId="5" xfId="2" applyNumberFormat="1" applyFont="1" applyBorder="1" applyAlignment="1">
      <alignment horizontal="left" vertical="center"/>
    </xf>
    <xf numFmtId="1" fontId="11" fillId="8" borderId="5" xfId="2" applyNumberFormat="1" applyFont="1" applyFill="1" applyBorder="1" applyAlignment="1">
      <alignment horizontal="center" vertical="center"/>
    </xf>
    <xf numFmtId="1" fontId="14" fillId="8" borderId="4" xfId="0" applyNumberFormat="1" applyFont="1" applyFill="1" applyBorder="1" applyAlignment="1">
      <alignment horizontal="left"/>
    </xf>
    <xf numFmtId="0" fontId="19" fillId="8" borderId="4" xfId="0" applyFont="1" applyFill="1" applyBorder="1" applyAlignment="1">
      <alignment horizontal="left" vertical="center"/>
    </xf>
    <xf numFmtId="0" fontId="0" fillId="8" borderId="4" xfId="0" applyFill="1" applyBorder="1" applyAlignment="1">
      <alignment horizontal="left" shrinkToFit="1"/>
    </xf>
    <xf numFmtId="0" fontId="0" fillId="0" borderId="4" xfId="0" applyBorder="1" applyAlignment="1">
      <alignment horizontal="left"/>
    </xf>
    <xf numFmtId="0" fontId="20" fillId="0" borderId="4" xfId="0" applyFont="1" applyBorder="1" applyAlignment="1">
      <alignment horizontal="left"/>
    </xf>
    <xf numFmtId="0" fontId="20" fillId="8" borderId="4" xfId="0" applyFont="1" applyFill="1" applyBorder="1" applyAlignment="1">
      <alignment horizontal="left"/>
    </xf>
    <xf numFmtId="0" fontId="5" fillId="8" borderId="4" xfId="2" applyFont="1" applyFill="1" applyBorder="1" applyAlignment="1">
      <alignment horizontal="left" vertical="center" shrinkToFit="1"/>
    </xf>
    <xf numFmtId="1" fontId="5" fillId="8" borderId="4" xfId="2" applyNumberFormat="1" applyFont="1" applyFill="1" applyBorder="1" applyAlignment="1">
      <alignment horizontal="left" vertical="center"/>
    </xf>
    <xf numFmtId="1" fontId="5" fillId="8" borderId="4" xfId="2" quotePrefix="1" applyNumberFormat="1" applyFont="1" applyFill="1" applyBorder="1" applyAlignment="1">
      <alignment horizontal="left" vertical="center"/>
    </xf>
    <xf numFmtId="0" fontId="0" fillId="0" borderId="4" xfId="0" quotePrefix="1" applyBorder="1" applyAlignment="1">
      <alignment horizontal="left"/>
    </xf>
    <xf numFmtId="1" fontId="3" fillId="0" borderId="4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5" fillId="0" borderId="4" xfId="0" quotePrefix="1" applyFont="1" applyBorder="1" applyAlignment="1">
      <alignment horizontal="center" vertical="top"/>
    </xf>
    <xf numFmtId="14" fontId="0" fillId="0" borderId="4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quotePrefix="1"/>
    <xf numFmtId="0" fontId="4" fillId="0" borderId="4" xfId="0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shrinkToFit="1"/>
    </xf>
    <xf numFmtId="15" fontId="5" fillId="0" borderId="6" xfId="2" applyNumberFormat="1" applyFont="1" applyBorder="1" applyAlignment="1">
      <alignment horizontal="left" vertical="center"/>
    </xf>
    <xf numFmtId="2" fontId="5" fillId="0" borderId="4" xfId="2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2" fontId="0" fillId="0" borderId="0" xfId="0" applyNumberFormat="1"/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166" fontId="9" fillId="4" borderId="1" xfId="2" applyNumberFormat="1" applyFont="1" applyFill="1" applyBorder="1" applyAlignment="1">
      <alignment horizontal="center" vertical="center"/>
    </xf>
    <xf numFmtId="166" fontId="9" fillId="4" borderId="2" xfId="2" applyNumberFormat="1" applyFont="1" applyFill="1" applyBorder="1" applyAlignment="1">
      <alignment horizontal="center" vertical="center"/>
    </xf>
    <xf numFmtId="166" fontId="9" fillId="4" borderId="3" xfId="2" applyNumberFormat="1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/>
    </xf>
    <xf numFmtId="0" fontId="9" fillId="5" borderId="2" xfId="2" applyFont="1" applyFill="1" applyBorder="1" applyAlignment="1">
      <alignment horizontal="center" vertical="center"/>
    </xf>
    <xf numFmtId="0" fontId="9" fillId="5" borderId="3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/>
    </xf>
    <xf numFmtId="0" fontId="9" fillId="6" borderId="2" xfId="2" applyFont="1" applyFill="1" applyBorder="1" applyAlignment="1">
      <alignment horizontal="center" vertical="center"/>
    </xf>
    <xf numFmtId="0" fontId="9" fillId="6" borderId="3" xfId="2" applyFont="1" applyFill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0" fontId="2" fillId="7" borderId="2" xfId="2" applyFont="1" applyFill="1" applyBorder="1" applyAlignment="1">
      <alignment horizontal="center" vertical="center"/>
    </xf>
    <xf numFmtId="0" fontId="2" fillId="7" borderId="3" xfId="2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 2 2" xfId="3" xr:uid="{BBBD30AF-2A73-4C88-B9CA-F2657573C422}"/>
    <cellStyle name="Normal 2_NEHA-Contract Labour Bill - June -2012" xfId="2" xr:uid="{9BBFADBC-0533-40B5-B1F5-D2C84C762D6E}"/>
  </cellStyles>
  <dxfs count="75"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BU%20Manpower/3)%20Jun-26/Jun%2026%20RBU%20Production%20Mandays%20%2059-20.xlsx" TargetMode="External"/><Relationship Id="rId2" Type="http://schemas.openxmlformats.org/officeDocument/2006/relationships/externalLinkPath" Target="file:///D:\FY%2026-27\Balaji%20Infratsructure\RBU%20Manpower\3)%20Jun-26\Jun%2026%20RBU%20Production%20Mandays%20%2059-20.xlsx" TargetMode="External"/><Relationship Id="rId1" Type="http://schemas.openxmlformats.org/officeDocument/2006/relationships/externalLinkPath" Target="/FY%2026-27/Balaji%20Infratsructure/RBU%20Manpower/3)%20Jun-26/Jun%2026%20RBU%20Production%20Mandays%20%2059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oice-20"/>
      <sheetName val="BILLING &amp; PAY SHEET"/>
      <sheetName val="Payment List "/>
      <sheetName val="SALARY SHEET "/>
    </sheetNames>
    <sheetDataSet>
      <sheetData sheetId="0"/>
      <sheetData sheetId="1">
        <row r="86">
          <cell r="BG86">
            <v>13500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VISE@7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D69E-758E-4EEE-B4BD-1CE9FC266011}">
  <dimension ref="A1:BU240"/>
  <sheetViews>
    <sheetView tabSelected="1" topLeftCell="A2" zoomScale="110" zoomScaleNormal="110" zoomScalePageLayoutView="71" workbookViewId="0">
      <pane xSplit="4" ySplit="7" topLeftCell="E9" activePane="bottomRight" state="frozen"/>
      <selection activeCell="A2" sqref="A2"/>
      <selection pane="topRight" activeCell="E2" sqref="E2"/>
      <selection pane="bottomLeft" activeCell="A9" sqref="A9"/>
      <selection pane="bottomRight" activeCell="H15" sqref="H15"/>
    </sheetView>
  </sheetViews>
  <sheetFormatPr defaultRowHeight="12.75" x14ac:dyDescent="0.25"/>
  <cols>
    <col min="1" max="1" width="9.42578125" style="2" customWidth="1"/>
    <col min="2" max="2" width="13.140625" style="2" hidden="1" customWidth="1"/>
    <col min="3" max="3" width="7.7109375" style="2" customWidth="1"/>
    <col min="4" max="4" width="37.85546875" style="3" customWidth="1"/>
    <col min="5" max="5" width="27.140625" style="4" customWidth="1"/>
    <col min="6" max="6" width="8.85546875" style="4" customWidth="1"/>
    <col min="7" max="7" width="34.5703125" style="5" customWidth="1"/>
    <col min="8" max="8" width="11" style="4" customWidth="1"/>
    <col min="9" max="9" width="10.5703125" style="4" customWidth="1"/>
    <col min="10" max="10" width="15.42578125" style="4" customWidth="1"/>
    <col min="11" max="11" width="30.28515625" style="4" customWidth="1"/>
    <col min="12" max="12" width="18.140625" style="6" customWidth="1"/>
    <col min="13" max="13" width="14.7109375" style="7" customWidth="1"/>
    <col min="14" max="14" width="17.85546875" style="4" customWidth="1"/>
    <col min="15" max="15" width="16.140625" style="7" customWidth="1"/>
    <col min="16" max="16" width="22.140625" style="4" customWidth="1"/>
    <col min="17" max="17" width="18.7109375" style="4" customWidth="1"/>
    <col min="18" max="18" width="28" style="4" customWidth="1"/>
    <col min="19" max="19" width="14.42578125" style="4" customWidth="1"/>
    <col min="20" max="20" width="14.7109375" style="4" customWidth="1"/>
    <col min="21" max="21" width="12.85546875" style="4" customWidth="1"/>
    <col min="22" max="24" width="8.7109375" style="4" customWidth="1"/>
    <col min="25" max="25" width="8.28515625" style="8" customWidth="1"/>
    <col min="26" max="27" width="8" style="8" customWidth="1"/>
    <col min="28" max="28" width="9.140625" style="8" customWidth="1"/>
    <col min="29" max="29" width="8" style="8" customWidth="1"/>
    <col min="30" max="30" width="8.5703125" style="8" customWidth="1"/>
    <col min="31" max="31" width="10.42578125" style="8" bestFit="1" customWidth="1"/>
    <col min="32" max="32" width="10" style="8" customWidth="1"/>
    <col min="33" max="33" width="7.7109375" style="8" customWidth="1"/>
    <col min="34" max="34" width="9.7109375" style="8" customWidth="1"/>
    <col min="35" max="35" width="11.140625" style="8" bestFit="1" customWidth="1"/>
    <col min="36" max="36" width="11.140625" style="8" customWidth="1"/>
    <col min="37" max="44" width="9.42578125" style="8" customWidth="1"/>
    <col min="45" max="46" width="7.42578125" style="8" customWidth="1"/>
    <col min="47" max="47" width="10" style="8" customWidth="1"/>
    <col min="48" max="48" width="8.42578125" style="8" customWidth="1"/>
    <col min="49" max="51" width="9" style="8" customWidth="1"/>
    <col min="52" max="52" width="10.42578125" style="8" customWidth="1"/>
    <col min="53" max="53" width="8.85546875" style="8" customWidth="1"/>
    <col min="54" max="54" width="7.7109375" style="8" customWidth="1"/>
    <col min="55" max="55" width="8.85546875" style="8" customWidth="1"/>
    <col min="56" max="56" width="12.5703125" style="8" customWidth="1"/>
    <col min="57" max="57" width="8.7109375" style="8" customWidth="1"/>
    <col min="58" max="58" width="10.28515625" style="8" customWidth="1"/>
    <col min="59" max="59" width="9.7109375" style="8" bestFit="1" customWidth="1"/>
    <col min="60" max="60" width="8.7109375" style="8" customWidth="1"/>
    <col min="61" max="61" width="7" style="8" customWidth="1"/>
    <col min="62" max="62" width="9" style="8" customWidth="1"/>
    <col min="63" max="63" width="9" style="8" bestFit="1" customWidth="1"/>
    <col min="64" max="64" width="11.5703125" style="8" bestFit="1" customWidth="1"/>
    <col min="65" max="65" width="11.85546875" style="8" customWidth="1"/>
    <col min="66" max="66" width="10.140625" style="2" customWidth="1"/>
    <col min="67" max="68" width="9.85546875" style="2" customWidth="1"/>
    <col min="69" max="69" width="12" style="2" bestFit="1" customWidth="1"/>
    <col min="70" max="70" width="11.140625" style="2" customWidth="1"/>
    <col min="71" max="71" width="12.28515625" style="2" bestFit="1" customWidth="1"/>
    <col min="72" max="274" width="9.140625" style="2"/>
    <col min="275" max="275" width="7" style="2" customWidth="1"/>
    <col min="276" max="276" width="10" style="2" customWidth="1"/>
    <col min="277" max="277" width="7.7109375" style="2" customWidth="1"/>
    <col min="278" max="278" width="31.42578125" style="2" bestFit="1" customWidth="1"/>
    <col min="279" max="293" width="9.140625" style="2" customWidth="1"/>
    <col min="294" max="294" width="10.7109375" style="2" customWidth="1"/>
    <col min="295" max="295" width="8.7109375" style="2" bestFit="1" customWidth="1"/>
    <col min="296" max="296" width="8.28515625" style="2" bestFit="1" customWidth="1"/>
    <col min="297" max="297" width="8.140625" style="2" customWidth="1"/>
    <col min="298" max="298" width="9.140625" style="2" customWidth="1"/>
    <col min="299" max="299" width="8" style="2" customWidth="1"/>
    <col min="300" max="300" width="7.85546875" style="2" bestFit="1" customWidth="1"/>
    <col min="301" max="301" width="9.42578125" style="2" customWidth="1"/>
    <col min="302" max="302" width="11" style="2" customWidth="1"/>
    <col min="303" max="303" width="6.42578125" style="2" customWidth="1"/>
    <col min="304" max="304" width="8.5703125" style="2" customWidth="1"/>
    <col min="305" max="305" width="9.42578125" style="2" customWidth="1"/>
    <col min="306" max="307" width="7.42578125" style="2" customWidth="1"/>
    <col min="308" max="308" width="10" style="2" bestFit="1" customWidth="1"/>
    <col min="309" max="309" width="8.42578125" style="2" bestFit="1" customWidth="1"/>
    <col min="310" max="310" width="9" style="2" bestFit="1" customWidth="1"/>
    <col min="311" max="311" width="7.7109375" style="2" customWidth="1"/>
    <col min="312" max="313" width="8.85546875" style="2" customWidth="1"/>
    <col min="314" max="314" width="10" style="2" bestFit="1" customWidth="1"/>
    <col min="315" max="315" width="8.7109375" style="2" customWidth="1"/>
    <col min="316" max="316" width="10.28515625" style="2" bestFit="1" customWidth="1"/>
    <col min="317" max="317" width="7.42578125" style="2" bestFit="1" customWidth="1"/>
    <col min="318" max="318" width="8.7109375" style="2" bestFit="1" customWidth="1"/>
    <col min="319" max="319" width="6.140625" style="2" bestFit="1" customWidth="1"/>
    <col min="320" max="320" width="8" style="2" customWidth="1"/>
    <col min="321" max="321" width="9.140625" style="2" customWidth="1"/>
    <col min="322" max="322" width="12.140625" style="2" customWidth="1"/>
    <col min="323" max="323" width="8.28515625" style="2" bestFit="1" customWidth="1"/>
    <col min="324" max="324" width="9.85546875" style="2" bestFit="1" customWidth="1"/>
    <col min="325" max="325" width="7.42578125" style="2" bestFit="1" customWidth="1"/>
    <col min="326" max="326" width="11.140625" style="2" bestFit="1" customWidth="1"/>
    <col min="327" max="327" width="10.42578125" style="2" bestFit="1" customWidth="1"/>
    <col min="328" max="530" width="9.140625" style="2"/>
    <col min="531" max="531" width="7" style="2" customWidth="1"/>
    <col min="532" max="532" width="10" style="2" customWidth="1"/>
    <col min="533" max="533" width="7.7109375" style="2" customWidth="1"/>
    <col min="534" max="534" width="31.42578125" style="2" bestFit="1" customWidth="1"/>
    <col min="535" max="549" width="9.140625" style="2" customWidth="1"/>
    <col min="550" max="550" width="10.7109375" style="2" customWidth="1"/>
    <col min="551" max="551" width="8.7109375" style="2" bestFit="1" customWidth="1"/>
    <col min="552" max="552" width="8.28515625" style="2" bestFit="1" customWidth="1"/>
    <col min="553" max="553" width="8.140625" style="2" customWidth="1"/>
    <col min="554" max="554" width="9.140625" style="2" customWidth="1"/>
    <col min="555" max="555" width="8" style="2" customWidth="1"/>
    <col min="556" max="556" width="7.85546875" style="2" bestFit="1" customWidth="1"/>
    <col min="557" max="557" width="9.42578125" style="2" customWidth="1"/>
    <col min="558" max="558" width="11" style="2" customWidth="1"/>
    <col min="559" max="559" width="6.42578125" style="2" customWidth="1"/>
    <col min="560" max="560" width="8.5703125" style="2" customWidth="1"/>
    <col min="561" max="561" width="9.42578125" style="2" customWidth="1"/>
    <col min="562" max="563" width="7.42578125" style="2" customWidth="1"/>
    <col min="564" max="564" width="10" style="2" bestFit="1" customWidth="1"/>
    <col min="565" max="565" width="8.42578125" style="2" bestFit="1" customWidth="1"/>
    <col min="566" max="566" width="9" style="2" bestFit="1" customWidth="1"/>
    <col min="567" max="567" width="7.7109375" style="2" customWidth="1"/>
    <col min="568" max="569" width="8.85546875" style="2" customWidth="1"/>
    <col min="570" max="570" width="10" style="2" bestFit="1" customWidth="1"/>
    <col min="571" max="571" width="8.7109375" style="2" customWidth="1"/>
    <col min="572" max="572" width="10.28515625" style="2" bestFit="1" customWidth="1"/>
    <col min="573" max="573" width="7.42578125" style="2" bestFit="1" customWidth="1"/>
    <col min="574" max="574" width="8.7109375" style="2" bestFit="1" customWidth="1"/>
    <col min="575" max="575" width="6.140625" style="2" bestFit="1" customWidth="1"/>
    <col min="576" max="576" width="8" style="2" customWidth="1"/>
    <col min="577" max="577" width="9.140625" style="2" customWidth="1"/>
    <col min="578" max="578" width="12.140625" style="2" customWidth="1"/>
    <col min="579" max="579" width="8.28515625" style="2" bestFit="1" customWidth="1"/>
    <col min="580" max="580" width="9.85546875" style="2" bestFit="1" customWidth="1"/>
    <col min="581" max="581" width="7.42578125" style="2" bestFit="1" customWidth="1"/>
    <col min="582" max="582" width="11.140625" style="2" bestFit="1" customWidth="1"/>
    <col min="583" max="583" width="10.42578125" style="2" bestFit="1" customWidth="1"/>
    <col min="584" max="786" width="9.140625" style="2"/>
    <col min="787" max="787" width="7" style="2" customWidth="1"/>
    <col min="788" max="788" width="10" style="2" customWidth="1"/>
    <col min="789" max="789" width="7.7109375" style="2" customWidth="1"/>
    <col min="790" max="790" width="31.42578125" style="2" bestFit="1" customWidth="1"/>
    <col min="791" max="805" width="9.140625" style="2" customWidth="1"/>
    <col min="806" max="806" width="10.7109375" style="2" customWidth="1"/>
    <col min="807" max="807" width="8.7109375" style="2" bestFit="1" customWidth="1"/>
    <col min="808" max="808" width="8.28515625" style="2" bestFit="1" customWidth="1"/>
    <col min="809" max="809" width="8.140625" style="2" customWidth="1"/>
    <col min="810" max="810" width="9.140625" style="2" customWidth="1"/>
    <col min="811" max="811" width="8" style="2" customWidth="1"/>
    <col min="812" max="812" width="7.85546875" style="2" bestFit="1" customWidth="1"/>
    <col min="813" max="813" width="9.42578125" style="2" customWidth="1"/>
    <col min="814" max="814" width="11" style="2" customWidth="1"/>
    <col min="815" max="815" width="6.42578125" style="2" customWidth="1"/>
    <col min="816" max="816" width="8.5703125" style="2" customWidth="1"/>
    <col min="817" max="817" width="9.42578125" style="2" customWidth="1"/>
    <col min="818" max="819" width="7.42578125" style="2" customWidth="1"/>
    <col min="820" max="820" width="10" style="2" bestFit="1" customWidth="1"/>
    <col min="821" max="821" width="8.42578125" style="2" bestFit="1" customWidth="1"/>
    <col min="822" max="822" width="9" style="2" bestFit="1" customWidth="1"/>
    <col min="823" max="823" width="7.7109375" style="2" customWidth="1"/>
    <col min="824" max="825" width="8.85546875" style="2" customWidth="1"/>
    <col min="826" max="826" width="10" style="2" bestFit="1" customWidth="1"/>
    <col min="827" max="827" width="8.7109375" style="2" customWidth="1"/>
    <col min="828" max="828" width="10.28515625" style="2" bestFit="1" customWidth="1"/>
    <col min="829" max="829" width="7.42578125" style="2" bestFit="1" customWidth="1"/>
    <col min="830" max="830" width="8.7109375" style="2" bestFit="1" customWidth="1"/>
    <col min="831" max="831" width="6.140625" style="2" bestFit="1" customWidth="1"/>
    <col min="832" max="832" width="8" style="2" customWidth="1"/>
    <col min="833" max="833" width="9.140625" style="2" customWidth="1"/>
    <col min="834" max="834" width="12.140625" style="2" customWidth="1"/>
    <col min="835" max="835" width="8.28515625" style="2" bestFit="1" customWidth="1"/>
    <col min="836" max="836" width="9.85546875" style="2" bestFit="1" customWidth="1"/>
    <col min="837" max="837" width="7.42578125" style="2" bestFit="1" customWidth="1"/>
    <col min="838" max="838" width="11.140625" style="2" bestFit="1" customWidth="1"/>
    <col min="839" max="839" width="10.42578125" style="2" bestFit="1" customWidth="1"/>
    <col min="840" max="1042" width="9.140625" style="2"/>
    <col min="1043" max="1043" width="7" style="2" customWidth="1"/>
    <col min="1044" max="1044" width="10" style="2" customWidth="1"/>
    <col min="1045" max="1045" width="7.7109375" style="2" customWidth="1"/>
    <col min="1046" max="1046" width="31.42578125" style="2" bestFit="1" customWidth="1"/>
    <col min="1047" max="1061" width="9.140625" style="2" customWidth="1"/>
    <col min="1062" max="1062" width="10.7109375" style="2" customWidth="1"/>
    <col min="1063" max="1063" width="8.7109375" style="2" bestFit="1" customWidth="1"/>
    <col min="1064" max="1064" width="8.28515625" style="2" bestFit="1" customWidth="1"/>
    <col min="1065" max="1065" width="8.140625" style="2" customWidth="1"/>
    <col min="1066" max="1066" width="9.140625" style="2" customWidth="1"/>
    <col min="1067" max="1067" width="8" style="2" customWidth="1"/>
    <col min="1068" max="1068" width="7.85546875" style="2" bestFit="1" customWidth="1"/>
    <col min="1069" max="1069" width="9.42578125" style="2" customWidth="1"/>
    <col min="1070" max="1070" width="11" style="2" customWidth="1"/>
    <col min="1071" max="1071" width="6.42578125" style="2" customWidth="1"/>
    <col min="1072" max="1072" width="8.5703125" style="2" customWidth="1"/>
    <col min="1073" max="1073" width="9.42578125" style="2" customWidth="1"/>
    <col min="1074" max="1075" width="7.42578125" style="2" customWidth="1"/>
    <col min="1076" max="1076" width="10" style="2" bestFit="1" customWidth="1"/>
    <col min="1077" max="1077" width="8.42578125" style="2" bestFit="1" customWidth="1"/>
    <col min="1078" max="1078" width="9" style="2" bestFit="1" customWidth="1"/>
    <col min="1079" max="1079" width="7.7109375" style="2" customWidth="1"/>
    <col min="1080" max="1081" width="8.85546875" style="2" customWidth="1"/>
    <col min="1082" max="1082" width="10" style="2" bestFit="1" customWidth="1"/>
    <col min="1083" max="1083" width="8.7109375" style="2" customWidth="1"/>
    <col min="1084" max="1084" width="10.28515625" style="2" bestFit="1" customWidth="1"/>
    <col min="1085" max="1085" width="7.42578125" style="2" bestFit="1" customWidth="1"/>
    <col min="1086" max="1086" width="8.7109375" style="2" bestFit="1" customWidth="1"/>
    <col min="1087" max="1087" width="6.140625" style="2" bestFit="1" customWidth="1"/>
    <col min="1088" max="1088" width="8" style="2" customWidth="1"/>
    <col min="1089" max="1089" width="9.140625" style="2" customWidth="1"/>
    <col min="1090" max="1090" width="12.140625" style="2" customWidth="1"/>
    <col min="1091" max="1091" width="8.28515625" style="2" bestFit="1" customWidth="1"/>
    <col min="1092" max="1092" width="9.85546875" style="2" bestFit="1" customWidth="1"/>
    <col min="1093" max="1093" width="7.42578125" style="2" bestFit="1" customWidth="1"/>
    <col min="1094" max="1094" width="11.140625" style="2" bestFit="1" customWidth="1"/>
    <col min="1095" max="1095" width="10.42578125" style="2" bestFit="1" customWidth="1"/>
    <col min="1096" max="1298" width="9.140625" style="2"/>
    <col min="1299" max="1299" width="7" style="2" customWidth="1"/>
    <col min="1300" max="1300" width="10" style="2" customWidth="1"/>
    <col min="1301" max="1301" width="7.7109375" style="2" customWidth="1"/>
    <col min="1302" max="1302" width="31.42578125" style="2" bestFit="1" customWidth="1"/>
    <col min="1303" max="1317" width="9.140625" style="2" customWidth="1"/>
    <col min="1318" max="1318" width="10.7109375" style="2" customWidth="1"/>
    <col min="1319" max="1319" width="8.7109375" style="2" bestFit="1" customWidth="1"/>
    <col min="1320" max="1320" width="8.28515625" style="2" bestFit="1" customWidth="1"/>
    <col min="1321" max="1321" width="8.140625" style="2" customWidth="1"/>
    <col min="1322" max="1322" width="9.140625" style="2" customWidth="1"/>
    <col min="1323" max="1323" width="8" style="2" customWidth="1"/>
    <col min="1324" max="1324" width="7.85546875" style="2" bestFit="1" customWidth="1"/>
    <col min="1325" max="1325" width="9.42578125" style="2" customWidth="1"/>
    <col min="1326" max="1326" width="11" style="2" customWidth="1"/>
    <col min="1327" max="1327" width="6.42578125" style="2" customWidth="1"/>
    <col min="1328" max="1328" width="8.5703125" style="2" customWidth="1"/>
    <col min="1329" max="1329" width="9.42578125" style="2" customWidth="1"/>
    <col min="1330" max="1331" width="7.42578125" style="2" customWidth="1"/>
    <col min="1332" max="1332" width="10" style="2" bestFit="1" customWidth="1"/>
    <col min="1333" max="1333" width="8.42578125" style="2" bestFit="1" customWidth="1"/>
    <col min="1334" max="1334" width="9" style="2" bestFit="1" customWidth="1"/>
    <col min="1335" max="1335" width="7.7109375" style="2" customWidth="1"/>
    <col min="1336" max="1337" width="8.85546875" style="2" customWidth="1"/>
    <col min="1338" max="1338" width="10" style="2" bestFit="1" customWidth="1"/>
    <col min="1339" max="1339" width="8.7109375" style="2" customWidth="1"/>
    <col min="1340" max="1340" width="10.28515625" style="2" bestFit="1" customWidth="1"/>
    <col min="1341" max="1341" width="7.42578125" style="2" bestFit="1" customWidth="1"/>
    <col min="1342" max="1342" width="8.7109375" style="2" bestFit="1" customWidth="1"/>
    <col min="1343" max="1343" width="6.140625" style="2" bestFit="1" customWidth="1"/>
    <col min="1344" max="1344" width="8" style="2" customWidth="1"/>
    <col min="1345" max="1345" width="9.140625" style="2" customWidth="1"/>
    <col min="1346" max="1346" width="12.140625" style="2" customWidth="1"/>
    <col min="1347" max="1347" width="8.28515625" style="2" bestFit="1" customWidth="1"/>
    <col min="1348" max="1348" width="9.85546875" style="2" bestFit="1" customWidth="1"/>
    <col min="1349" max="1349" width="7.42578125" style="2" bestFit="1" customWidth="1"/>
    <col min="1350" max="1350" width="11.140625" style="2" bestFit="1" customWidth="1"/>
    <col min="1351" max="1351" width="10.42578125" style="2" bestFit="1" customWidth="1"/>
    <col min="1352" max="1554" width="9.140625" style="2"/>
    <col min="1555" max="1555" width="7" style="2" customWidth="1"/>
    <col min="1556" max="1556" width="10" style="2" customWidth="1"/>
    <col min="1557" max="1557" width="7.7109375" style="2" customWidth="1"/>
    <col min="1558" max="1558" width="31.42578125" style="2" bestFit="1" customWidth="1"/>
    <col min="1559" max="1573" width="9.140625" style="2" customWidth="1"/>
    <col min="1574" max="1574" width="10.7109375" style="2" customWidth="1"/>
    <col min="1575" max="1575" width="8.7109375" style="2" bestFit="1" customWidth="1"/>
    <col min="1576" max="1576" width="8.28515625" style="2" bestFit="1" customWidth="1"/>
    <col min="1577" max="1577" width="8.140625" style="2" customWidth="1"/>
    <col min="1578" max="1578" width="9.140625" style="2" customWidth="1"/>
    <col min="1579" max="1579" width="8" style="2" customWidth="1"/>
    <col min="1580" max="1580" width="7.85546875" style="2" bestFit="1" customWidth="1"/>
    <col min="1581" max="1581" width="9.42578125" style="2" customWidth="1"/>
    <col min="1582" max="1582" width="11" style="2" customWidth="1"/>
    <col min="1583" max="1583" width="6.42578125" style="2" customWidth="1"/>
    <col min="1584" max="1584" width="8.5703125" style="2" customWidth="1"/>
    <col min="1585" max="1585" width="9.42578125" style="2" customWidth="1"/>
    <col min="1586" max="1587" width="7.42578125" style="2" customWidth="1"/>
    <col min="1588" max="1588" width="10" style="2" bestFit="1" customWidth="1"/>
    <col min="1589" max="1589" width="8.42578125" style="2" bestFit="1" customWidth="1"/>
    <col min="1590" max="1590" width="9" style="2" bestFit="1" customWidth="1"/>
    <col min="1591" max="1591" width="7.7109375" style="2" customWidth="1"/>
    <col min="1592" max="1593" width="8.85546875" style="2" customWidth="1"/>
    <col min="1594" max="1594" width="10" style="2" bestFit="1" customWidth="1"/>
    <col min="1595" max="1595" width="8.7109375" style="2" customWidth="1"/>
    <col min="1596" max="1596" width="10.28515625" style="2" bestFit="1" customWidth="1"/>
    <col min="1597" max="1597" width="7.42578125" style="2" bestFit="1" customWidth="1"/>
    <col min="1598" max="1598" width="8.7109375" style="2" bestFit="1" customWidth="1"/>
    <col min="1599" max="1599" width="6.140625" style="2" bestFit="1" customWidth="1"/>
    <col min="1600" max="1600" width="8" style="2" customWidth="1"/>
    <col min="1601" max="1601" width="9.140625" style="2" customWidth="1"/>
    <col min="1602" max="1602" width="12.140625" style="2" customWidth="1"/>
    <col min="1603" max="1603" width="8.28515625" style="2" bestFit="1" customWidth="1"/>
    <col min="1604" max="1604" width="9.85546875" style="2" bestFit="1" customWidth="1"/>
    <col min="1605" max="1605" width="7.42578125" style="2" bestFit="1" customWidth="1"/>
    <col min="1606" max="1606" width="11.140625" style="2" bestFit="1" customWidth="1"/>
    <col min="1607" max="1607" width="10.42578125" style="2" bestFit="1" customWidth="1"/>
    <col min="1608" max="1810" width="9.140625" style="2"/>
    <col min="1811" max="1811" width="7" style="2" customWidth="1"/>
    <col min="1812" max="1812" width="10" style="2" customWidth="1"/>
    <col min="1813" max="1813" width="7.7109375" style="2" customWidth="1"/>
    <col min="1814" max="1814" width="31.42578125" style="2" bestFit="1" customWidth="1"/>
    <col min="1815" max="1829" width="9.140625" style="2" customWidth="1"/>
    <col min="1830" max="1830" width="10.7109375" style="2" customWidth="1"/>
    <col min="1831" max="1831" width="8.7109375" style="2" bestFit="1" customWidth="1"/>
    <col min="1832" max="1832" width="8.28515625" style="2" bestFit="1" customWidth="1"/>
    <col min="1833" max="1833" width="8.140625" style="2" customWidth="1"/>
    <col min="1834" max="1834" width="9.140625" style="2" customWidth="1"/>
    <col min="1835" max="1835" width="8" style="2" customWidth="1"/>
    <col min="1836" max="1836" width="7.85546875" style="2" bestFit="1" customWidth="1"/>
    <col min="1837" max="1837" width="9.42578125" style="2" customWidth="1"/>
    <col min="1838" max="1838" width="11" style="2" customWidth="1"/>
    <col min="1839" max="1839" width="6.42578125" style="2" customWidth="1"/>
    <col min="1840" max="1840" width="8.5703125" style="2" customWidth="1"/>
    <col min="1841" max="1841" width="9.42578125" style="2" customWidth="1"/>
    <col min="1842" max="1843" width="7.42578125" style="2" customWidth="1"/>
    <col min="1844" max="1844" width="10" style="2" bestFit="1" customWidth="1"/>
    <col min="1845" max="1845" width="8.42578125" style="2" bestFit="1" customWidth="1"/>
    <col min="1846" max="1846" width="9" style="2" bestFit="1" customWidth="1"/>
    <col min="1847" max="1847" width="7.7109375" style="2" customWidth="1"/>
    <col min="1848" max="1849" width="8.85546875" style="2" customWidth="1"/>
    <col min="1850" max="1850" width="10" style="2" bestFit="1" customWidth="1"/>
    <col min="1851" max="1851" width="8.7109375" style="2" customWidth="1"/>
    <col min="1852" max="1852" width="10.28515625" style="2" bestFit="1" customWidth="1"/>
    <col min="1853" max="1853" width="7.42578125" style="2" bestFit="1" customWidth="1"/>
    <col min="1854" max="1854" width="8.7109375" style="2" bestFit="1" customWidth="1"/>
    <col min="1855" max="1855" width="6.140625" style="2" bestFit="1" customWidth="1"/>
    <col min="1856" max="1856" width="8" style="2" customWidth="1"/>
    <col min="1857" max="1857" width="9.140625" style="2" customWidth="1"/>
    <col min="1858" max="1858" width="12.140625" style="2" customWidth="1"/>
    <col min="1859" max="1859" width="8.28515625" style="2" bestFit="1" customWidth="1"/>
    <col min="1860" max="1860" width="9.85546875" style="2" bestFit="1" customWidth="1"/>
    <col min="1861" max="1861" width="7.42578125" style="2" bestFit="1" customWidth="1"/>
    <col min="1862" max="1862" width="11.140625" style="2" bestFit="1" customWidth="1"/>
    <col min="1863" max="1863" width="10.42578125" style="2" bestFit="1" customWidth="1"/>
    <col min="1864" max="2066" width="9.140625" style="2"/>
    <col min="2067" max="2067" width="7" style="2" customWidth="1"/>
    <col min="2068" max="2068" width="10" style="2" customWidth="1"/>
    <col min="2069" max="2069" width="7.7109375" style="2" customWidth="1"/>
    <col min="2070" max="2070" width="31.42578125" style="2" bestFit="1" customWidth="1"/>
    <col min="2071" max="2085" width="9.140625" style="2" customWidth="1"/>
    <col min="2086" max="2086" width="10.7109375" style="2" customWidth="1"/>
    <col min="2087" max="2087" width="8.7109375" style="2" bestFit="1" customWidth="1"/>
    <col min="2088" max="2088" width="8.28515625" style="2" bestFit="1" customWidth="1"/>
    <col min="2089" max="2089" width="8.140625" style="2" customWidth="1"/>
    <col min="2090" max="2090" width="9.140625" style="2" customWidth="1"/>
    <col min="2091" max="2091" width="8" style="2" customWidth="1"/>
    <col min="2092" max="2092" width="7.85546875" style="2" bestFit="1" customWidth="1"/>
    <col min="2093" max="2093" width="9.42578125" style="2" customWidth="1"/>
    <col min="2094" max="2094" width="11" style="2" customWidth="1"/>
    <col min="2095" max="2095" width="6.42578125" style="2" customWidth="1"/>
    <col min="2096" max="2096" width="8.5703125" style="2" customWidth="1"/>
    <col min="2097" max="2097" width="9.42578125" style="2" customWidth="1"/>
    <col min="2098" max="2099" width="7.42578125" style="2" customWidth="1"/>
    <col min="2100" max="2100" width="10" style="2" bestFit="1" customWidth="1"/>
    <col min="2101" max="2101" width="8.42578125" style="2" bestFit="1" customWidth="1"/>
    <col min="2102" max="2102" width="9" style="2" bestFit="1" customWidth="1"/>
    <col min="2103" max="2103" width="7.7109375" style="2" customWidth="1"/>
    <col min="2104" max="2105" width="8.85546875" style="2" customWidth="1"/>
    <col min="2106" max="2106" width="10" style="2" bestFit="1" customWidth="1"/>
    <col min="2107" max="2107" width="8.7109375" style="2" customWidth="1"/>
    <col min="2108" max="2108" width="10.28515625" style="2" bestFit="1" customWidth="1"/>
    <col min="2109" max="2109" width="7.42578125" style="2" bestFit="1" customWidth="1"/>
    <col min="2110" max="2110" width="8.7109375" style="2" bestFit="1" customWidth="1"/>
    <col min="2111" max="2111" width="6.140625" style="2" bestFit="1" customWidth="1"/>
    <col min="2112" max="2112" width="8" style="2" customWidth="1"/>
    <col min="2113" max="2113" width="9.140625" style="2" customWidth="1"/>
    <col min="2114" max="2114" width="12.140625" style="2" customWidth="1"/>
    <col min="2115" max="2115" width="8.28515625" style="2" bestFit="1" customWidth="1"/>
    <col min="2116" max="2116" width="9.85546875" style="2" bestFit="1" customWidth="1"/>
    <col min="2117" max="2117" width="7.42578125" style="2" bestFit="1" customWidth="1"/>
    <col min="2118" max="2118" width="11.140625" style="2" bestFit="1" customWidth="1"/>
    <col min="2119" max="2119" width="10.42578125" style="2" bestFit="1" customWidth="1"/>
    <col min="2120" max="2322" width="9.140625" style="2"/>
    <col min="2323" max="2323" width="7" style="2" customWidth="1"/>
    <col min="2324" max="2324" width="10" style="2" customWidth="1"/>
    <col min="2325" max="2325" width="7.7109375" style="2" customWidth="1"/>
    <col min="2326" max="2326" width="31.42578125" style="2" bestFit="1" customWidth="1"/>
    <col min="2327" max="2341" width="9.140625" style="2" customWidth="1"/>
    <col min="2342" max="2342" width="10.7109375" style="2" customWidth="1"/>
    <col min="2343" max="2343" width="8.7109375" style="2" bestFit="1" customWidth="1"/>
    <col min="2344" max="2344" width="8.28515625" style="2" bestFit="1" customWidth="1"/>
    <col min="2345" max="2345" width="8.140625" style="2" customWidth="1"/>
    <col min="2346" max="2346" width="9.140625" style="2" customWidth="1"/>
    <col min="2347" max="2347" width="8" style="2" customWidth="1"/>
    <col min="2348" max="2348" width="7.85546875" style="2" bestFit="1" customWidth="1"/>
    <col min="2349" max="2349" width="9.42578125" style="2" customWidth="1"/>
    <col min="2350" max="2350" width="11" style="2" customWidth="1"/>
    <col min="2351" max="2351" width="6.42578125" style="2" customWidth="1"/>
    <col min="2352" max="2352" width="8.5703125" style="2" customWidth="1"/>
    <col min="2353" max="2353" width="9.42578125" style="2" customWidth="1"/>
    <col min="2354" max="2355" width="7.42578125" style="2" customWidth="1"/>
    <col min="2356" max="2356" width="10" style="2" bestFit="1" customWidth="1"/>
    <col min="2357" max="2357" width="8.42578125" style="2" bestFit="1" customWidth="1"/>
    <col min="2358" max="2358" width="9" style="2" bestFit="1" customWidth="1"/>
    <col min="2359" max="2359" width="7.7109375" style="2" customWidth="1"/>
    <col min="2360" max="2361" width="8.85546875" style="2" customWidth="1"/>
    <col min="2362" max="2362" width="10" style="2" bestFit="1" customWidth="1"/>
    <col min="2363" max="2363" width="8.7109375" style="2" customWidth="1"/>
    <col min="2364" max="2364" width="10.28515625" style="2" bestFit="1" customWidth="1"/>
    <col min="2365" max="2365" width="7.42578125" style="2" bestFit="1" customWidth="1"/>
    <col min="2366" max="2366" width="8.7109375" style="2" bestFit="1" customWidth="1"/>
    <col min="2367" max="2367" width="6.140625" style="2" bestFit="1" customWidth="1"/>
    <col min="2368" max="2368" width="8" style="2" customWidth="1"/>
    <col min="2369" max="2369" width="9.140625" style="2" customWidth="1"/>
    <col min="2370" max="2370" width="12.140625" style="2" customWidth="1"/>
    <col min="2371" max="2371" width="8.28515625" style="2" bestFit="1" customWidth="1"/>
    <col min="2372" max="2372" width="9.85546875" style="2" bestFit="1" customWidth="1"/>
    <col min="2373" max="2373" width="7.42578125" style="2" bestFit="1" customWidth="1"/>
    <col min="2374" max="2374" width="11.140625" style="2" bestFit="1" customWidth="1"/>
    <col min="2375" max="2375" width="10.42578125" style="2" bestFit="1" customWidth="1"/>
    <col min="2376" max="2578" width="9.140625" style="2"/>
    <col min="2579" max="2579" width="7" style="2" customWidth="1"/>
    <col min="2580" max="2580" width="10" style="2" customWidth="1"/>
    <col min="2581" max="2581" width="7.7109375" style="2" customWidth="1"/>
    <col min="2582" max="2582" width="31.42578125" style="2" bestFit="1" customWidth="1"/>
    <col min="2583" max="2597" width="9.140625" style="2" customWidth="1"/>
    <col min="2598" max="2598" width="10.7109375" style="2" customWidth="1"/>
    <col min="2599" max="2599" width="8.7109375" style="2" bestFit="1" customWidth="1"/>
    <col min="2600" max="2600" width="8.28515625" style="2" bestFit="1" customWidth="1"/>
    <col min="2601" max="2601" width="8.140625" style="2" customWidth="1"/>
    <col min="2602" max="2602" width="9.140625" style="2" customWidth="1"/>
    <col min="2603" max="2603" width="8" style="2" customWidth="1"/>
    <col min="2604" max="2604" width="7.85546875" style="2" bestFit="1" customWidth="1"/>
    <col min="2605" max="2605" width="9.42578125" style="2" customWidth="1"/>
    <col min="2606" max="2606" width="11" style="2" customWidth="1"/>
    <col min="2607" max="2607" width="6.42578125" style="2" customWidth="1"/>
    <col min="2608" max="2608" width="8.5703125" style="2" customWidth="1"/>
    <col min="2609" max="2609" width="9.42578125" style="2" customWidth="1"/>
    <col min="2610" max="2611" width="7.42578125" style="2" customWidth="1"/>
    <col min="2612" max="2612" width="10" style="2" bestFit="1" customWidth="1"/>
    <col min="2613" max="2613" width="8.42578125" style="2" bestFit="1" customWidth="1"/>
    <col min="2614" max="2614" width="9" style="2" bestFit="1" customWidth="1"/>
    <col min="2615" max="2615" width="7.7109375" style="2" customWidth="1"/>
    <col min="2616" max="2617" width="8.85546875" style="2" customWidth="1"/>
    <col min="2618" max="2618" width="10" style="2" bestFit="1" customWidth="1"/>
    <col min="2619" max="2619" width="8.7109375" style="2" customWidth="1"/>
    <col min="2620" max="2620" width="10.28515625" style="2" bestFit="1" customWidth="1"/>
    <col min="2621" max="2621" width="7.42578125" style="2" bestFit="1" customWidth="1"/>
    <col min="2622" max="2622" width="8.7109375" style="2" bestFit="1" customWidth="1"/>
    <col min="2623" max="2623" width="6.140625" style="2" bestFit="1" customWidth="1"/>
    <col min="2624" max="2624" width="8" style="2" customWidth="1"/>
    <col min="2625" max="2625" width="9.140625" style="2" customWidth="1"/>
    <col min="2626" max="2626" width="12.140625" style="2" customWidth="1"/>
    <col min="2627" max="2627" width="8.28515625" style="2" bestFit="1" customWidth="1"/>
    <col min="2628" max="2628" width="9.85546875" style="2" bestFit="1" customWidth="1"/>
    <col min="2629" max="2629" width="7.42578125" style="2" bestFit="1" customWidth="1"/>
    <col min="2630" max="2630" width="11.140625" style="2" bestFit="1" customWidth="1"/>
    <col min="2631" max="2631" width="10.42578125" style="2" bestFit="1" customWidth="1"/>
    <col min="2632" max="2834" width="9.140625" style="2"/>
    <col min="2835" max="2835" width="7" style="2" customWidth="1"/>
    <col min="2836" max="2836" width="10" style="2" customWidth="1"/>
    <col min="2837" max="2837" width="7.7109375" style="2" customWidth="1"/>
    <col min="2838" max="2838" width="31.42578125" style="2" bestFit="1" customWidth="1"/>
    <col min="2839" max="2853" width="9.140625" style="2" customWidth="1"/>
    <col min="2854" max="2854" width="10.7109375" style="2" customWidth="1"/>
    <col min="2855" max="2855" width="8.7109375" style="2" bestFit="1" customWidth="1"/>
    <col min="2856" max="2856" width="8.28515625" style="2" bestFit="1" customWidth="1"/>
    <col min="2857" max="2857" width="8.140625" style="2" customWidth="1"/>
    <col min="2858" max="2858" width="9.140625" style="2" customWidth="1"/>
    <col min="2859" max="2859" width="8" style="2" customWidth="1"/>
    <col min="2860" max="2860" width="7.85546875" style="2" bestFit="1" customWidth="1"/>
    <col min="2861" max="2861" width="9.42578125" style="2" customWidth="1"/>
    <col min="2862" max="2862" width="11" style="2" customWidth="1"/>
    <col min="2863" max="2863" width="6.42578125" style="2" customWidth="1"/>
    <col min="2864" max="2864" width="8.5703125" style="2" customWidth="1"/>
    <col min="2865" max="2865" width="9.42578125" style="2" customWidth="1"/>
    <col min="2866" max="2867" width="7.42578125" style="2" customWidth="1"/>
    <col min="2868" max="2868" width="10" style="2" bestFit="1" customWidth="1"/>
    <col min="2869" max="2869" width="8.42578125" style="2" bestFit="1" customWidth="1"/>
    <col min="2870" max="2870" width="9" style="2" bestFit="1" customWidth="1"/>
    <col min="2871" max="2871" width="7.7109375" style="2" customWidth="1"/>
    <col min="2872" max="2873" width="8.85546875" style="2" customWidth="1"/>
    <col min="2874" max="2874" width="10" style="2" bestFit="1" customWidth="1"/>
    <col min="2875" max="2875" width="8.7109375" style="2" customWidth="1"/>
    <col min="2876" max="2876" width="10.28515625" style="2" bestFit="1" customWidth="1"/>
    <col min="2877" max="2877" width="7.42578125" style="2" bestFit="1" customWidth="1"/>
    <col min="2878" max="2878" width="8.7109375" style="2" bestFit="1" customWidth="1"/>
    <col min="2879" max="2879" width="6.140625" style="2" bestFit="1" customWidth="1"/>
    <col min="2880" max="2880" width="8" style="2" customWidth="1"/>
    <col min="2881" max="2881" width="9.140625" style="2" customWidth="1"/>
    <col min="2882" max="2882" width="12.140625" style="2" customWidth="1"/>
    <col min="2883" max="2883" width="8.28515625" style="2" bestFit="1" customWidth="1"/>
    <col min="2884" max="2884" width="9.85546875" style="2" bestFit="1" customWidth="1"/>
    <col min="2885" max="2885" width="7.42578125" style="2" bestFit="1" customWidth="1"/>
    <col min="2886" max="2886" width="11.140625" style="2" bestFit="1" customWidth="1"/>
    <col min="2887" max="2887" width="10.42578125" style="2" bestFit="1" customWidth="1"/>
    <col min="2888" max="3090" width="9.140625" style="2"/>
    <col min="3091" max="3091" width="7" style="2" customWidth="1"/>
    <col min="3092" max="3092" width="10" style="2" customWidth="1"/>
    <col min="3093" max="3093" width="7.7109375" style="2" customWidth="1"/>
    <col min="3094" max="3094" width="31.42578125" style="2" bestFit="1" customWidth="1"/>
    <col min="3095" max="3109" width="9.140625" style="2" customWidth="1"/>
    <col min="3110" max="3110" width="10.7109375" style="2" customWidth="1"/>
    <col min="3111" max="3111" width="8.7109375" style="2" bestFit="1" customWidth="1"/>
    <col min="3112" max="3112" width="8.28515625" style="2" bestFit="1" customWidth="1"/>
    <col min="3113" max="3113" width="8.140625" style="2" customWidth="1"/>
    <col min="3114" max="3114" width="9.140625" style="2" customWidth="1"/>
    <col min="3115" max="3115" width="8" style="2" customWidth="1"/>
    <col min="3116" max="3116" width="7.85546875" style="2" bestFit="1" customWidth="1"/>
    <col min="3117" max="3117" width="9.42578125" style="2" customWidth="1"/>
    <col min="3118" max="3118" width="11" style="2" customWidth="1"/>
    <col min="3119" max="3119" width="6.42578125" style="2" customWidth="1"/>
    <col min="3120" max="3120" width="8.5703125" style="2" customWidth="1"/>
    <col min="3121" max="3121" width="9.42578125" style="2" customWidth="1"/>
    <col min="3122" max="3123" width="7.42578125" style="2" customWidth="1"/>
    <col min="3124" max="3124" width="10" style="2" bestFit="1" customWidth="1"/>
    <col min="3125" max="3125" width="8.42578125" style="2" bestFit="1" customWidth="1"/>
    <col min="3126" max="3126" width="9" style="2" bestFit="1" customWidth="1"/>
    <col min="3127" max="3127" width="7.7109375" style="2" customWidth="1"/>
    <col min="3128" max="3129" width="8.85546875" style="2" customWidth="1"/>
    <col min="3130" max="3130" width="10" style="2" bestFit="1" customWidth="1"/>
    <col min="3131" max="3131" width="8.7109375" style="2" customWidth="1"/>
    <col min="3132" max="3132" width="10.28515625" style="2" bestFit="1" customWidth="1"/>
    <col min="3133" max="3133" width="7.42578125" style="2" bestFit="1" customWidth="1"/>
    <col min="3134" max="3134" width="8.7109375" style="2" bestFit="1" customWidth="1"/>
    <col min="3135" max="3135" width="6.140625" style="2" bestFit="1" customWidth="1"/>
    <col min="3136" max="3136" width="8" style="2" customWidth="1"/>
    <col min="3137" max="3137" width="9.140625" style="2" customWidth="1"/>
    <col min="3138" max="3138" width="12.140625" style="2" customWidth="1"/>
    <col min="3139" max="3139" width="8.28515625" style="2" bestFit="1" customWidth="1"/>
    <col min="3140" max="3140" width="9.85546875" style="2" bestFit="1" customWidth="1"/>
    <col min="3141" max="3141" width="7.42578125" style="2" bestFit="1" customWidth="1"/>
    <col min="3142" max="3142" width="11.140625" style="2" bestFit="1" customWidth="1"/>
    <col min="3143" max="3143" width="10.42578125" style="2" bestFit="1" customWidth="1"/>
    <col min="3144" max="3346" width="9.140625" style="2"/>
    <col min="3347" max="3347" width="7" style="2" customWidth="1"/>
    <col min="3348" max="3348" width="10" style="2" customWidth="1"/>
    <col min="3349" max="3349" width="7.7109375" style="2" customWidth="1"/>
    <col min="3350" max="3350" width="31.42578125" style="2" bestFit="1" customWidth="1"/>
    <col min="3351" max="3365" width="9.140625" style="2" customWidth="1"/>
    <col min="3366" max="3366" width="10.7109375" style="2" customWidth="1"/>
    <col min="3367" max="3367" width="8.7109375" style="2" bestFit="1" customWidth="1"/>
    <col min="3368" max="3368" width="8.28515625" style="2" bestFit="1" customWidth="1"/>
    <col min="3369" max="3369" width="8.140625" style="2" customWidth="1"/>
    <col min="3370" max="3370" width="9.140625" style="2" customWidth="1"/>
    <col min="3371" max="3371" width="8" style="2" customWidth="1"/>
    <col min="3372" max="3372" width="7.85546875" style="2" bestFit="1" customWidth="1"/>
    <col min="3373" max="3373" width="9.42578125" style="2" customWidth="1"/>
    <col min="3374" max="3374" width="11" style="2" customWidth="1"/>
    <col min="3375" max="3375" width="6.42578125" style="2" customWidth="1"/>
    <col min="3376" max="3376" width="8.5703125" style="2" customWidth="1"/>
    <col min="3377" max="3377" width="9.42578125" style="2" customWidth="1"/>
    <col min="3378" max="3379" width="7.42578125" style="2" customWidth="1"/>
    <col min="3380" max="3380" width="10" style="2" bestFit="1" customWidth="1"/>
    <col min="3381" max="3381" width="8.42578125" style="2" bestFit="1" customWidth="1"/>
    <col min="3382" max="3382" width="9" style="2" bestFit="1" customWidth="1"/>
    <col min="3383" max="3383" width="7.7109375" style="2" customWidth="1"/>
    <col min="3384" max="3385" width="8.85546875" style="2" customWidth="1"/>
    <col min="3386" max="3386" width="10" style="2" bestFit="1" customWidth="1"/>
    <col min="3387" max="3387" width="8.7109375" style="2" customWidth="1"/>
    <col min="3388" max="3388" width="10.28515625" style="2" bestFit="1" customWidth="1"/>
    <col min="3389" max="3389" width="7.42578125" style="2" bestFit="1" customWidth="1"/>
    <col min="3390" max="3390" width="8.7109375" style="2" bestFit="1" customWidth="1"/>
    <col min="3391" max="3391" width="6.140625" style="2" bestFit="1" customWidth="1"/>
    <col min="3392" max="3392" width="8" style="2" customWidth="1"/>
    <col min="3393" max="3393" width="9.140625" style="2" customWidth="1"/>
    <col min="3394" max="3394" width="12.140625" style="2" customWidth="1"/>
    <col min="3395" max="3395" width="8.28515625" style="2" bestFit="1" customWidth="1"/>
    <col min="3396" max="3396" width="9.85546875" style="2" bestFit="1" customWidth="1"/>
    <col min="3397" max="3397" width="7.42578125" style="2" bestFit="1" customWidth="1"/>
    <col min="3398" max="3398" width="11.140625" style="2" bestFit="1" customWidth="1"/>
    <col min="3399" max="3399" width="10.42578125" style="2" bestFit="1" customWidth="1"/>
    <col min="3400" max="3602" width="9.140625" style="2"/>
    <col min="3603" max="3603" width="7" style="2" customWidth="1"/>
    <col min="3604" max="3604" width="10" style="2" customWidth="1"/>
    <col min="3605" max="3605" width="7.7109375" style="2" customWidth="1"/>
    <col min="3606" max="3606" width="31.42578125" style="2" bestFit="1" customWidth="1"/>
    <col min="3607" max="3621" width="9.140625" style="2" customWidth="1"/>
    <col min="3622" max="3622" width="10.7109375" style="2" customWidth="1"/>
    <col min="3623" max="3623" width="8.7109375" style="2" bestFit="1" customWidth="1"/>
    <col min="3624" max="3624" width="8.28515625" style="2" bestFit="1" customWidth="1"/>
    <col min="3625" max="3625" width="8.140625" style="2" customWidth="1"/>
    <col min="3626" max="3626" width="9.140625" style="2" customWidth="1"/>
    <col min="3627" max="3627" width="8" style="2" customWidth="1"/>
    <col min="3628" max="3628" width="7.85546875" style="2" bestFit="1" customWidth="1"/>
    <col min="3629" max="3629" width="9.42578125" style="2" customWidth="1"/>
    <col min="3630" max="3630" width="11" style="2" customWidth="1"/>
    <col min="3631" max="3631" width="6.42578125" style="2" customWidth="1"/>
    <col min="3632" max="3632" width="8.5703125" style="2" customWidth="1"/>
    <col min="3633" max="3633" width="9.42578125" style="2" customWidth="1"/>
    <col min="3634" max="3635" width="7.42578125" style="2" customWidth="1"/>
    <col min="3636" max="3636" width="10" style="2" bestFit="1" customWidth="1"/>
    <col min="3637" max="3637" width="8.42578125" style="2" bestFit="1" customWidth="1"/>
    <col min="3638" max="3638" width="9" style="2" bestFit="1" customWidth="1"/>
    <col min="3639" max="3639" width="7.7109375" style="2" customWidth="1"/>
    <col min="3640" max="3641" width="8.85546875" style="2" customWidth="1"/>
    <col min="3642" max="3642" width="10" style="2" bestFit="1" customWidth="1"/>
    <col min="3643" max="3643" width="8.7109375" style="2" customWidth="1"/>
    <col min="3644" max="3644" width="10.28515625" style="2" bestFit="1" customWidth="1"/>
    <col min="3645" max="3645" width="7.42578125" style="2" bestFit="1" customWidth="1"/>
    <col min="3646" max="3646" width="8.7109375" style="2" bestFit="1" customWidth="1"/>
    <col min="3647" max="3647" width="6.140625" style="2" bestFit="1" customWidth="1"/>
    <col min="3648" max="3648" width="8" style="2" customWidth="1"/>
    <col min="3649" max="3649" width="9.140625" style="2" customWidth="1"/>
    <col min="3650" max="3650" width="12.140625" style="2" customWidth="1"/>
    <col min="3651" max="3651" width="8.28515625" style="2" bestFit="1" customWidth="1"/>
    <col min="3652" max="3652" width="9.85546875" style="2" bestFit="1" customWidth="1"/>
    <col min="3653" max="3653" width="7.42578125" style="2" bestFit="1" customWidth="1"/>
    <col min="3654" max="3654" width="11.140625" style="2" bestFit="1" customWidth="1"/>
    <col min="3655" max="3655" width="10.42578125" style="2" bestFit="1" customWidth="1"/>
    <col min="3656" max="3858" width="9.140625" style="2"/>
    <col min="3859" max="3859" width="7" style="2" customWidth="1"/>
    <col min="3860" max="3860" width="10" style="2" customWidth="1"/>
    <col min="3861" max="3861" width="7.7109375" style="2" customWidth="1"/>
    <col min="3862" max="3862" width="31.42578125" style="2" bestFit="1" customWidth="1"/>
    <col min="3863" max="3877" width="9.140625" style="2" customWidth="1"/>
    <col min="3878" max="3878" width="10.7109375" style="2" customWidth="1"/>
    <col min="3879" max="3879" width="8.7109375" style="2" bestFit="1" customWidth="1"/>
    <col min="3880" max="3880" width="8.28515625" style="2" bestFit="1" customWidth="1"/>
    <col min="3881" max="3881" width="8.140625" style="2" customWidth="1"/>
    <col min="3882" max="3882" width="9.140625" style="2" customWidth="1"/>
    <col min="3883" max="3883" width="8" style="2" customWidth="1"/>
    <col min="3884" max="3884" width="7.85546875" style="2" bestFit="1" customWidth="1"/>
    <col min="3885" max="3885" width="9.42578125" style="2" customWidth="1"/>
    <col min="3886" max="3886" width="11" style="2" customWidth="1"/>
    <col min="3887" max="3887" width="6.42578125" style="2" customWidth="1"/>
    <col min="3888" max="3888" width="8.5703125" style="2" customWidth="1"/>
    <col min="3889" max="3889" width="9.42578125" style="2" customWidth="1"/>
    <col min="3890" max="3891" width="7.42578125" style="2" customWidth="1"/>
    <col min="3892" max="3892" width="10" style="2" bestFit="1" customWidth="1"/>
    <col min="3893" max="3893" width="8.42578125" style="2" bestFit="1" customWidth="1"/>
    <col min="3894" max="3894" width="9" style="2" bestFit="1" customWidth="1"/>
    <col min="3895" max="3895" width="7.7109375" style="2" customWidth="1"/>
    <col min="3896" max="3897" width="8.85546875" style="2" customWidth="1"/>
    <col min="3898" max="3898" width="10" style="2" bestFit="1" customWidth="1"/>
    <col min="3899" max="3899" width="8.7109375" style="2" customWidth="1"/>
    <col min="3900" max="3900" width="10.28515625" style="2" bestFit="1" customWidth="1"/>
    <col min="3901" max="3901" width="7.42578125" style="2" bestFit="1" customWidth="1"/>
    <col min="3902" max="3902" width="8.7109375" style="2" bestFit="1" customWidth="1"/>
    <col min="3903" max="3903" width="6.140625" style="2" bestFit="1" customWidth="1"/>
    <col min="3904" max="3904" width="8" style="2" customWidth="1"/>
    <col min="3905" max="3905" width="9.140625" style="2" customWidth="1"/>
    <col min="3906" max="3906" width="12.140625" style="2" customWidth="1"/>
    <col min="3907" max="3907" width="8.28515625" style="2" bestFit="1" customWidth="1"/>
    <col min="3908" max="3908" width="9.85546875" style="2" bestFit="1" customWidth="1"/>
    <col min="3909" max="3909" width="7.42578125" style="2" bestFit="1" customWidth="1"/>
    <col min="3910" max="3910" width="11.140625" style="2" bestFit="1" customWidth="1"/>
    <col min="3911" max="3911" width="10.42578125" style="2" bestFit="1" customWidth="1"/>
    <col min="3912" max="4114" width="9.140625" style="2"/>
    <col min="4115" max="4115" width="7" style="2" customWidth="1"/>
    <col min="4116" max="4116" width="10" style="2" customWidth="1"/>
    <col min="4117" max="4117" width="7.7109375" style="2" customWidth="1"/>
    <col min="4118" max="4118" width="31.42578125" style="2" bestFit="1" customWidth="1"/>
    <col min="4119" max="4133" width="9.140625" style="2" customWidth="1"/>
    <col min="4134" max="4134" width="10.7109375" style="2" customWidth="1"/>
    <col min="4135" max="4135" width="8.7109375" style="2" bestFit="1" customWidth="1"/>
    <col min="4136" max="4136" width="8.28515625" style="2" bestFit="1" customWidth="1"/>
    <col min="4137" max="4137" width="8.140625" style="2" customWidth="1"/>
    <col min="4138" max="4138" width="9.140625" style="2" customWidth="1"/>
    <col min="4139" max="4139" width="8" style="2" customWidth="1"/>
    <col min="4140" max="4140" width="7.85546875" style="2" bestFit="1" customWidth="1"/>
    <col min="4141" max="4141" width="9.42578125" style="2" customWidth="1"/>
    <col min="4142" max="4142" width="11" style="2" customWidth="1"/>
    <col min="4143" max="4143" width="6.42578125" style="2" customWidth="1"/>
    <col min="4144" max="4144" width="8.5703125" style="2" customWidth="1"/>
    <col min="4145" max="4145" width="9.42578125" style="2" customWidth="1"/>
    <col min="4146" max="4147" width="7.42578125" style="2" customWidth="1"/>
    <col min="4148" max="4148" width="10" style="2" bestFit="1" customWidth="1"/>
    <col min="4149" max="4149" width="8.42578125" style="2" bestFit="1" customWidth="1"/>
    <col min="4150" max="4150" width="9" style="2" bestFit="1" customWidth="1"/>
    <col min="4151" max="4151" width="7.7109375" style="2" customWidth="1"/>
    <col min="4152" max="4153" width="8.85546875" style="2" customWidth="1"/>
    <col min="4154" max="4154" width="10" style="2" bestFit="1" customWidth="1"/>
    <col min="4155" max="4155" width="8.7109375" style="2" customWidth="1"/>
    <col min="4156" max="4156" width="10.28515625" style="2" bestFit="1" customWidth="1"/>
    <col min="4157" max="4157" width="7.42578125" style="2" bestFit="1" customWidth="1"/>
    <col min="4158" max="4158" width="8.7109375" style="2" bestFit="1" customWidth="1"/>
    <col min="4159" max="4159" width="6.140625" style="2" bestFit="1" customWidth="1"/>
    <col min="4160" max="4160" width="8" style="2" customWidth="1"/>
    <col min="4161" max="4161" width="9.140625" style="2" customWidth="1"/>
    <col min="4162" max="4162" width="12.140625" style="2" customWidth="1"/>
    <col min="4163" max="4163" width="8.28515625" style="2" bestFit="1" customWidth="1"/>
    <col min="4164" max="4164" width="9.85546875" style="2" bestFit="1" customWidth="1"/>
    <col min="4165" max="4165" width="7.42578125" style="2" bestFit="1" customWidth="1"/>
    <col min="4166" max="4166" width="11.140625" style="2" bestFit="1" customWidth="1"/>
    <col min="4167" max="4167" width="10.42578125" style="2" bestFit="1" customWidth="1"/>
    <col min="4168" max="4370" width="9.140625" style="2"/>
    <col min="4371" max="4371" width="7" style="2" customWidth="1"/>
    <col min="4372" max="4372" width="10" style="2" customWidth="1"/>
    <col min="4373" max="4373" width="7.7109375" style="2" customWidth="1"/>
    <col min="4374" max="4374" width="31.42578125" style="2" bestFit="1" customWidth="1"/>
    <col min="4375" max="4389" width="9.140625" style="2" customWidth="1"/>
    <col min="4390" max="4390" width="10.7109375" style="2" customWidth="1"/>
    <col min="4391" max="4391" width="8.7109375" style="2" bestFit="1" customWidth="1"/>
    <col min="4392" max="4392" width="8.28515625" style="2" bestFit="1" customWidth="1"/>
    <col min="4393" max="4393" width="8.140625" style="2" customWidth="1"/>
    <col min="4394" max="4394" width="9.140625" style="2" customWidth="1"/>
    <col min="4395" max="4395" width="8" style="2" customWidth="1"/>
    <col min="4396" max="4396" width="7.85546875" style="2" bestFit="1" customWidth="1"/>
    <col min="4397" max="4397" width="9.42578125" style="2" customWidth="1"/>
    <col min="4398" max="4398" width="11" style="2" customWidth="1"/>
    <col min="4399" max="4399" width="6.42578125" style="2" customWidth="1"/>
    <col min="4400" max="4400" width="8.5703125" style="2" customWidth="1"/>
    <col min="4401" max="4401" width="9.42578125" style="2" customWidth="1"/>
    <col min="4402" max="4403" width="7.42578125" style="2" customWidth="1"/>
    <col min="4404" max="4404" width="10" style="2" bestFit="1" customWidth="1"/>
    <col min="4405" max="4405" width="8.42578125" style="2" bestFit="1" customWidth="1"/>
    <col min="4406" max="4406" width="9" style="2" bestFit="1" customWidth="1"/>
    <col min="4407" max="4407" width="7.7109375" style="2" customWidth="1"/>
    <col min="4408" max="4409" width="8.85546875" style="2" customWidth="1"/>
    <col min="4410" max="4410" width="10" style="2" bestFit="1" customWidth="1"/>
    <col min="4411" max="4411" width="8.7109375" style="2" customWidth="1"/>
    <col min="4412" max="4412" width="10.28515625" style="2" bestFit="1" customWidth="1"/>
    <col min="4413" max="4413" width="7.42578125" style="2" bestFit="1" customWidth="1"/>
    <col min="4414" max="4414" width="8.7109375" style="2" bestFit="1" customWidth="1"/>
    <col min="4415" max="4415" width="6.140625" style="2" bestFit="1" customWidth="1"/>
    <col min="4416" max="4416" width="8" style="2" customWidth="1"/>
    <col min="4417" max="4417" width="9.140625" style="2" customWidth="1"/>
    <col min="4418" max="4418" width="12.140625" style="2" customWidth="1"/>
    <col min="4419" max="4419" width="8.28515625" style="2" bestFit="1" customWidth="1"/>
    <col min="4420" max="4420" width="9.85546875" style="2" bestFit="1" customWidth="1"/>
    <col min="4421" max="4421" width="7.42578125" style="2" bestFit="1" customWidth="1"/>
    <col min="4422" max="4422" width="11.140625" style="2" bestFit="1" customWidth="1"/>
    <col min="4423" max="4423" width="10.42578125" style="2" bestFit="1" customWidth="1"/>
    <col min="4424" max="4626" width="9.140625" style="2"/>
    <col min="4627" max="4627" width="7" style="2" customWidth="1"/>
    <col min="4628" max="4628" width="10" style="2" customWidth="1"/>
    <col min="4629" max="4629" width="7.7109375" style="2" customWidth="1"/>
    <col min="4630" max="4630" width="31.42578125" style="2" bestFit="1" customWidth="1"/>
    <col min="4631" max="4645" width="9.140625" style="2" customWidth="1"/>
    <col min="4646" max="4646" width="10.7109375" style="2" customWidth="1"/>
    <col min="4647" max="4647" width="8.7109375" style="2" bestFit="1" customWidth="1"/>
    <col min="4648" max="4648" width="8.28515625" style="2" bestFit="1" customWidth="1"/>
    <col min="4649" max="4649" width="8.140625" style="2" customWidth="1"/>
    <col min="4650" max="4650" width="9.140625" style="2" customWidth="1"/>
    <col min="4651" max="4651" width="8" style="2" customWidth="1"/>
    <col min="4652" max="4652" width="7.85546875" style="2" bestFit="1" customWidth="1"/>
    <col min="4653" max="4653" width="9.42578125" style="2" customWidth="1"/>
    <col min="4654" max="4654" width="11" style="2" customWidth="1"/>
    <col min="4655" max="4655" width="6.42578125" style="2" customWidth="1"/>
    <col min="4656" max="4656" width="8.5703125" style="2" customWidth="1"/>
    <col min="4657" max="4657" width="9.42578125" style="2" customWidth="1"/>
    <col min="4658" max="4659" width="7.42578125" style="2" customWidth="1"/>
    <col min="4660" max="4660" width="10" style="2" bestFit="1" customWidth="1"/>
    <col min="4661" max="4661" width="8.42578125" style="2" bestFit="1" customWidth="1"/>
    <col min="4662" max="4662" width="9" style="2" bestFit="1" customWidth="1"/>
    <col min="4663" max="4663" width="7.7109375" style="2" customWidth="1"/>
    <col min="4664" max="4665" width="8.85546875" style="2" customWidth="1"/>
    <col min="4666" max="4666" width="10" style="2" bestFit="1" customWidth="1"/>
    <col min="4667" max="4667" width="8.7109375" style="2" customWidth="1"/>
    <col min="4668" max="4668" width="10.28515625" style="2" bestFit="1" customWidth="1"/>
    <col min="4669" max="4669" width="7.42578125" style="2" bestFit="1" customWidth="1"/>
    <col min="4670" max="4670" width="8.7109375" style="2" bestFit="1" customWidth="1"/>
    <col min="4671" max="4671" width="6.140625" style="2" bestFit="1" customWidth="1"/>
    <col min="4672" max="4672" width="8" style="2" customWidth="1"/>
    <col min="4673" max="4673" width="9.140625" style="2" customWidth="1"/>
    <col min="4674" max="4674" width="12.140625" style="2" customWidth="1"/>
    <col min="4675" max="4675" width="8.28515625" style="2" bestFit="1" customWidth="1"/>
    <col min="4676" max="4676" width="9.85546875" style="2" bestFit="1" customWidth="1"/>
    <col min="4677" max="4677" width="7.42578125" style="2" bestFit="1" customWidth="1"/>
    <col min="4678" max="4678" width="11.140625" style="2" bestFit="1" customWidth="1"/>
    <col min="4679" max="4679" width="10.42578125" style="2" bestFit="1" customWidth="1"/>
    <col min="4680" max="4882" width="9.140625" style="2"/>
    <col min="4883" max="4883" width="7" style="2" customWidth="1"/>
    <col min="4884" max="4884" width="10" style="2" customWidth="1"/>
    <col min="4885" max="4885" width="7.7109375" style="2" customWidth="1"/>
    <col min="4886" max="4886" width="31.42578125" style="2" bestFit="1" customWidth="1"/>
    <col min="4887" max="4901" width="9.140625" style="2" customWidth="1"/>
    <col min="4902" max="4902" width="10.7109375" style="2" customWidth="1"/>
    <col min="4903" max="4903" width="8.7109375" style="2" bestFit="1" customWidth="1"/>
    <col min="4904" max="4904" width="8.28515625" style="2" bestFit="1" customWidth="1"/>
    <col min="4905" max="4905" width="8.140625" style="2" customWidth="1"/>
    <col min="4906" max="4906" width="9.140625" style="2" customWidth="1"/>
    <col min="4907" max="4907" width="8" style="2" customWidth="1"/>
    <col min="4908" max="4908" width="7.85546875" style="2" bestFit="1" customWidth="1"/>
    <col min="4909" max="4909" width="9.42578125" style="2" customWidth="1"/>
    <col min="4910" max="4910" width="11" style="2" customWidth="1"/>
    <col min="4911" max="4911" width="6.42578125" style="2" customWidth="1"/>
    <col min="4912" max="4912" width="8.5703125" style="2" customWidth="1"/>
    <col min="4913" max="4913" width="9.42578125" style="2" customWidth="1"/>
    <col min="4914" max="4915" width="7.42578125" style="2" customWidth="1"/>
    <col min="4916" max="4916" width="10" style="2" bestFit="1" customWidth="1"/>
    <col min="4917" max="4917" width="8.42578125" style="2" bestFit="1" customWidth="1"/>
    <col min="4918" max="4918" width="9" style="2" bestFit="1" customWidth="1"/>
    <col min="4919" max="4919" width="7.7109375" style="2" customWidth="1"/>
    <col min="4920" max="4921" width="8.85546875" style="2" customWidth="1"/>
    <col min="4922" max="4922" width="10" style="2" bestFit="1" customWidth="1"/>
    <col min="4923" max="4923" width="8.7109375" style="2" customWidth="1"/>
    <col min="4924" max="4924" width="10.28515625" style="2" bestFit="1" customWidth="1"/>
    <col min="4925" max="4925" width="7.42578125" style="2" bestFit="1" customWidth="1"/>
    <col min="4926" max="4926" width="8.7109375" style="2" bestFit="1" customWidth="1"/>
    <col min="4927" max="4927" width="6.140625" style="2" bestFit="1" customWidth="1"/>
    <col min="4928" max="4928" width="8" style="2" customWidth="1"/>
    <col min="4929" max="4929" width="9.140625" style="2" customWidth="1"/>
    <col min="4930" max="4930" width="12.140625" style="2" customWidth="1"/>
    <col min="4931" max="4931" width="8.28515625" style="2" bestFit="1" customWidth="1"/>
    <col min="4932" max="4932" width="9.85546875" style="2" bestFit="1" customWidth="1"/>
    <col min="4933" max="4933" width="7.42578125" style="2" bestFit="1" customWidth="1"/>
    <col min="4934" max="4934" width="11.140625" style="2" bestFit="1" customWidth="1"/>
    <col min="4935" max="4935" width="10.42578125" style="2" bestFit="1" customWidth="1"/>
    <col min="4936" max="5138" width="9.140625" style="2"/>
    <col min="5139" max="5139" width="7" style="2" customWidth="1"/>
    <col min="5140" max="5140" width="10" style="2" customWidth="1"/>
    <col min="5141" max="5141" width="7.7109375" style="2" customWidth="1"/>
    <col min="5142" max="5142" width="31.42578125" style="2" bestFit="1" customWidth="1"/>
    <col min="5143" max="5157" width="9.140625" style="2" customWidth="1"/>
    <col min="5158" max="5158" width="10.7109375" style="2" customWidth="1"/>
    <col min="5159" max="5159" width="8.7109375" style="2" bestFit="1" customWidth="1"/>
    <col min="5160" max="5160" width="8.28515625" style="2" bestFit="1" customWidth="1"/>
    <col min="5161" max="5161" width="8.140625" style="2" customWidth="1"/>
    <col min="5162" max="5162" width="9.140625" style="2" customWidth="1"/>
    <col min="5163" max="5163" width="8" style="2" customWidth="1"/>
    <col min="5164" max="5164" width="7.85546875" style="2" bestFit="1" customWidth="1"/>
    <col min="5165" max="5165" width="9.42578125" style="2" customWidth="1"/>
    <col min="5166" max="5166" width="11" style="2" customWidth="1"/>
    <col min="5167" max="5167" width="6.42578125" style="2" customWidth="1"/>
    <col min="5168" max="5168" width="8.5703125" style="2" customWidth="1"/>
    <col min="5169" max="5169" width="9.42578125" style="2" customWidth="1"/>
    <col min="5170" max="5171" width="7.42578125" style="2" customWidth="1"/>
    <col min="5172" max="5172" width="10" style="2" bestFit="1" customWidth="1"/>
    <col min="5173" max="5173" width="8.42578125" style="2" bestFit="1" customWidth="1"/>
    <col min="5174" max="5174" width="9" style="2" bestFit="1" customWidth="1"/>
    <col min="5175" max="5175" width="7.7109375" style="2" customWidth="1"/>
    <col min="5176" max="5177" width="8.85546875" style="2" customWidth="1"/>
    <col min="5178" max="5178" width="10" style="2" bestFit="1" customWidth="1"/>
    <col min="5179" max="5179" width="8.7109375" style="2" customWidth="1"/>
    <col min="5180" max="5180" width="10.28515625" style="2" bestFit="1" customWidth="1"/>
    <col min="5181" max="5181" width="7.42578125" style="2" bestFit="1" customWidth="1"/>
    <col min="5182" max="5182" width="8.7109375" style="2" bestFit="1" customWidth="1"/>
    <col min="5183" max="5183" width="6.140625" style="2" bestFit="1" customWidth="1"/>
    <col min="5184" max="5184" width="8" style="2" customWidth="1"/>
    <col min="5185" max="5185" width="9.140625" style="2" customWidth="1"/>
    <col min="5186" max="5186" width="12.140625" style="2" customWidth="1"/>
    <col min="5187" max="5187" width="8.28515625" style="2" bestFit="1" customWidth="1"/>
    <col min="5188" max="5188" width="9.85546875" style="2" bestFit="1" customWidth="1"/>
    <col min="5189" max="5189" width="7.42578125" style="2" bestFit="1" customWidth="1"/>
    <col min="5190" max="5190" width="11.140625" style="2" bestFit="1" customWidth="1"/>
    <col min="5191" max="5191" width="10.42578125" style="2" bestFit="1" customWidth="1"/>
    <col min="5192" max="5394" width="9.140625" style="2"/>
    <col min="5395" max="5395" width="7" style="2" customWidth="1"/>
    <col min="5396" max="5396" width="10" style="2" customWidth="1"/>
    <col min="5397" max="5397" width="7.7109375" style="2" customWidth="1"/>
    <col min="5398" max="5398" width="31.42578125" style="2" bestFit="1" customWidth="1"/>
    <col min="5399" max="5413" width="9.140625" style="2" customWidth="1"/>
    <col min="5414" max="5414" width="10.7109375" style="2" customWidth="1"/>
    <col min="5415" max="5415" width="8.7109375" style="2" bestFit="1" customWidth="1"/>
    <col min="5416" max="5416" width="8.28515625" style="2" bestFit="1" customWidth="1"/>
    <col min="5417" max="5417" width="8.140625" style="2" customWidth="1"/>
    <col min="5418" max="5418" width="9.140625" style="2" customWidth="1"/>
    <col min="5419" max="5419" width="8" style="2" customWidth="1"/>
    <col min="5420" max="5420" width="7.85546875" style="2" bestFit="1" customWidth="1"/>
    <col min="5421" max="5421" width="9.42578125" style="2" customWidth="1"/>
    <col min="5422" max="5422" width="11" style="2" customWidth="1"/>
    <col min="5423" max="5423" width="6.42578125" style="2" customWidth="1"/>
    <col min="5424" max="5424" width="8.5703125" style="2" customWidth="1"/>
    <col min="5425" max="5425" width="9.42578125" style="2" customWidth="1"/>
    <col min="5426" max="5427" width="7.42578125" style="2" customWidth="1"/>
    <col min="5428" max="5428" width="10" style="2" bestFit="1" customWidth="1"/>
    <col min="5429" max="5429" width="8.42578125" style="2" bestFit="1" customWidth="1"/>
    <col min="5430" max="5430" width="9" style="2" bestFit="1" customWidth="1"/>
    <col min="5431" max="5431" width="7.7109375" style="2" customWidth="1"/>
    <col min="5432" max="5433" width="8.85546875" style="2" customWidth="1"/>
    <col min="5434" max="5434" width="10" style="2" bestFit="1" customWidth="1"/>
    <col min="5435" max="5435" width="8.7109375" style="2" customWidth="1"/>
    <col min="5436" max="5436" width="10.28515625" style="2" bestFit="1" customWidth="1"/>
    <col min="5437" max="5437" width="7.42578125" style="2" bestFit="1" customWidth="1"/>
    <col min="5438" max="5438" width="8.7109375" style="2" bestFit="1" customWidth="1"/>
    <col min="5439" max="5439" width="6.140625" style="2" bestFit="1" customWidth="1"/>
    <col min="5440" max="5440" width="8" style="2" customWidth="1"/>
    <col min="5441" max="5441" width="9.140625" style="2" customWidth="1"/>
    <col min="5442" max="5442" width="12.140625" style="2" customWidth="1"/>
    <col min="5443" max="5443" width="8.28515625" style="2" bestFit="1" customWidth="1"/>
    <col min="5444" max="5444" width="9.85546875" style="2" bestFit="1" customWidth="1"/>
    <col min="5445" max="5445" width="7.42578125" style="2" bestFit="1" customWidth="1"/>
    <col min="5446" max="5446" width="11.140625" style="2" bestFit="1" customWidth="1"/>
    <col min="5447" max="5447" width="10.42578125" style="2" bestFit="1" customWidth="1"/>
    <col min="5448" max="5650" width="9.140625" style="2"/>
    <col min="5651" max="5651" width="7" style="2" customWidth="1"/>
    <col min="5652" max="5652" width="10" style="2" customWidth="1"/>
    <col min="5653" max="5653" width="7.7109375" style="2" customWidth="1"/>
    <col min="5654" max="5654" width="31.42578125" style="2" bestFit="1" customWidth="1"/>
    <col min="5655" max="5669" width="9.140625" style="2" customWidth="1"/>
    <col min="5670" max="5670" width="10.7109375" style="2" customWidth="1"/>
    <col min="5671" max="5671" width="8.7109375" style="2" bestFit="1" customWidth="1"/>
    <col min="5672" max="5672" width="8.28515625" style="2" bestFit="1" customWidth="1"/>
    <col min="5673" max="5673" width="8.140625" style="2" customWidth="1"/>
    <col min="5674" max="5674" width="9.140625" style="2" customWidth="1"/>
    <col min="5675" max="5675" width="8" style="2" customWidth="1"/>
    <col min="5676" max="5676" width="7.85546875" style="2" bestFit="1" customWidth="1"/>
    <col min="5677" max="5677" width="9.42578125" style="2" customWidth="1"/>
    <col min="5678" max="5678" width="11" style="2" customWidth="1"/>
    <col min="5679" max="5679" width="6.42578125" style="2" customWidth="1"/>
    <col min="5680" max="5680" width="8.5703125" style="2" customWidth="1"/>
    <col min="5681" max="5681" width="9.42578125" style="2" customWidth="1"/>
    <col min="5682" max="5683" width="7.42578125" style="2" customWidth="1"/>
    <col min="5684" max="5684" width="10" style="2" bestFit="1" customWidth="1"/>
    <col min="5685" max="5685" width="8.42578125" style="2" bestFit="1" customWidth="1"/>
    <col min="5686" max="5686" width="9" style="2" bestFit="1" customWidth="1"/>
    <col min="5687" max="5687" width="7.7109375" style="2" customWidth="1"/>
    <col min="5688" max="5689" width="8.85546875" style="2" customWidth="1"/>
    <col min="5690" max="5690" width="10" style="2" bestFit="1" customWidth="1"/>
    <col min="5691" max="5691" width="8.7109375" style="2" customWidth="1"/>
    <col min="5692" max="5692" width="10.28515625" style="2" bestFit="1" customWidth="1"/>
    <col min="5693" max="5693" width="7.42578125" style="2" bestFit="1" customWidth="1"/>
    <col min="5694" max="5694" width="8.7109375" style="2" bestFit="1" customWidth="1"/>
    <col min="5695" max="5695" width="6.140625" style="2" bestFit="1" customWidth="1"/>
    <col min="5696" max="5696" width="8" style="2" customWidth="1"/>
    <col min="5697" max="5697" width="9.140625" style="2" customWidth="1"/>
    <col min="5698" max="5698" width="12.140625" style="2" customWidth="1"/>
    <col min="5699" max="5699" width="8.28515625" style="2" bestFit="1" customWidth="1"/>
    <col min="5700" max="5700" width="9.85546875" style="2" bestFit="1" customWidth="1"/>
    <col min="5701" max="5701" width="7.42578125" style="2" bestFit="1" customWidth="1"/>
    <col min="5702" max="5702" width="11.140625" style="2" bestFit="1" customWidth="1"/>
    <col min="5703" max="5703" width="10.42578125" style="2" bestFit="1" customWidth="1"/>
    <col min="5704" max="5906" width="9.140625" style="2"/>
    <col min="5907" max="5907" width="7" style="2" customWidth="1"/>
    <col min="5908" max="5908" width="10" style="2" customWidth="1"/>
    <col min="5909" max="5909" width="7.7109375" style="2" customWidth="1"/>
    <col min="5910" max="5910" width="31.42578125" style="2" bestFit="1" customWidth="1"/>
    <col min="5911" max="5925" width="9.140625" style="2" customWidth="1"/>
    <col min="5926" max="5926" width="10.7109375" style="2" customWidth="1"/>
    <col min="5927" max="5927" width="8.7109375" style="2" bestFit="1" customWidth="1"/>
    <col min="5928" max="5928" width="8.28515625" style="2" bestFit="1" customWidth="1"/>
    <col min="5929" max="5929" width="8.140625" style="2" customWidth="1"/>
    <col min="5930" max="5930" width="9.140625" style="2" customWidth="1"/>
    <col min="5931" max="5931" width="8" style="2" customWidth="1"/>
    <col min="5932" max="5932" width="7.85546875" style="2" bestFit="1" customWidth="1"/>
    <col min="5933" max="5933" width="9.42578125" style="2" customWidth="1"/>
    <col min="5934" max="5934" width="11" style="2" customWidth="1"/>
    <col min="5935" max="5935" width="6.42578125" style="2" customWidth="1"/>
    <col min="5936" max="5936" width="8.5703125" style="2" customWidth="1"/>
    <col min="5937" max="5937" width="9.42578125" style="2" customWidth="1"/>
    <col min="5938" max="5939" width="7.42578125" style="2" customWidth="1"/>
    <col min="5940" max="5940" width="10" style="2" bestFit="1" customWidth="1"/>
    <col min="5941" max="5941" width="8.42578125" style="2" bestFit="1" customWidth="1"/>
    <col min="5942" max="5942" width="9" style="2" bestFit="1" customWidth="1"/>
    <col min="5943" max="5943" width="7.7109375" style="2" customWidth="1"/>
    <col min="5944" max="5945" width="8.85546875" style="2" customWidth="1"/>
    <col min="5946" max="5946" width="10" style="2" bestFit="1" customWidth="1"/>
    <col min="5947" max="5947" width="8.7109375" style="2" customWidth="1"/>
    <col min="5948" max="5948" width="10.28515625" style="2" bestFit="1" customWidth="1"/>
    <col min="5949" max="5949" width="7.42578125" style="2" bestFit="1" customWidth="1"/>
    <col min="5950" max="5950" width="8.7109375" style="2" bestFit="1" customWidth="1"/>
    <col min="5951" max="5951" width="6.140625" style="2" bestFit="1" customWidth="1"/>
    <col min="5952" max="5952" width="8" style="2" customWidth="1"/>
    <col min="5953" max="5953" width="9.140625" style="2" customWidth="1"/>
    <col min="5954" max="5954" width="12.140625" style="2" customWidth="1"/>
    <col min="5955" max="5955" width="8.28515625" style="2" bestFit="1" customWidth="1"/>
    <col min="5956" max="5956" width="9.85546875" style="2" bestFit="1" customWidth="1"/>
    <col min="5957" max="5957" width="7.42578125" style="2" bestFit="1" customWidth="1"/>
    <col min="5958" max="5958" width="11.140625" style="2" bestFit="1" customWidth="1"/>
    <col min="5959" max="5959" width="10.42578125" style="2" bestFit="1" customWidth="1"/>
    <col min="5960" max="6162" width="9.140625" style="2"/>
    <col min="6163" max="6163" width="7" style="2" customWidth="1"/>
    <col min="6164" max="6164" width="10" style="2" customWidth="1"/>
    <col min="6165" max="6165" width="7.7109375" style="2" customWidth="1"/>
    <col min="6166" max="6166" width="31.42578125" style="2" bestFit="1" customWidth="1"/>
    <col min="6167" max="6181" width="9.140625" style="2" customWidth="1"/>
    <col min="6182" max="6182" width="10.7109375" style="2" customWidth="1"/>
    <col min="6183" max="6183" width="8.7109375" style="2" bestFit="1" customWidth="1"/>
    <col min="6184" max="6184" width="8.28515625" style="2" bestFit="1" customWidth="1"/>
    <col min="6185" max="6185" width="8.140625" style="2" customWidth="1"/>
    <col min="6186" max="6186" width="9.140625" style="2" customWidth="1"/>
    <col min="6187" max="6187" width="8" style="2" customWidth="1"/>
    <col min="6188" max="6188" width="7.85546875" style="2" bestFit="1" customWidth="1"/>
    <col min="6189" max="6189" width="9.42578125" style="2" customWidth="1"/>
    <col min="6190" max="6190" width="11" style="2" customWidth="1"/>
    <col min="6191" max="6191" width="6.42578125" style="2" customWidth="1"/>
    <col min="6192" max="6192" width="8.5703125" style="2" customWidth="1"/>
    <col min="6193" max="6193" width="9.42578125" style="2" customWidth="1"/>
    <col min="6194" max="6195" width="7.42578125" style="2" customWidth="1"/>
    <col min="6196" max="6196" width="10" style="2" bestFit="1" customWidth="1"/>
    <col min="6197" max="6197" width="8.42578125" style="2" bestFit="1" customWidth="1"/>
    <col min="6198" max="6198" width="9" style="2" bestFit="1" customWidth="1"/>
    <col min="6199" max="6199" width="7.7109375" style="2" customWidth="1"/>
    <col min="6200" max="6201" width="8.85546875" style="2" customWidth="1"/>
    <col min="6202" max="6202" width="10" style="2" bestFit="1" customWidth="1"/>
    <col min="6203" max="6203" width="8.7109375" style="2" customWidth="1"/>
    <col min="6204" max="6204" width="10.28515625" style="2" bestFit="1" customWidth="1"/>
    <col min="6205" max="6205" width="7.42578125" style="2" bestFit="1" customWidth="1"/>
    <col min="6206" max="6206" width="8.7109375" style="2" bestFit="1" customWidth="1"/>
    <col min="6207" max="6207" width="6.140625" style="2" bestFit="1" customWidth="1"/>
    <col min="6208" max="6208" width="8" style="2" customWidth="1"/>
    <col min="6209" max="6209" width="9.140625" style="2" customWidth="1"/>
    <col min="6210" max="6210" width="12.140625" style="2" customWidth="1"/>
    <col min="6211" max="6211" width="8.28515625" style="2" bestFit="1" customWidth="1"/>
    <col min="6212" max="6212" width="9.85546875" style="2" bestFit="1" customWidth="1"/>
    <col min="6213" max="6213" width="7.42578125" style="2" bestFit="1" customWidth="1"/>
    <col min="6214" max="6214" width="11.140625" style="2" bestFit="1" customWidth="1"/>
    <col min="6215" max="6215" width="10.42578125" style="2" bestFit="1" customWidth="1"/>
    <col min="6216" max="6418" width="9.140625" style="2"/>
    <col min="6419" max="6419" width="7" style="2" customWidth="1"/>
    <col min="6420" max="6420" width="10" style="2" customWidth="1"/>
    <col min="6421" max="6421" width="7.7109375" style="2" customWidth="1"/>
    <col min="6422" max="6422" width="31.42578125" style="2" bestFit="1" customWidth="1"/>
    <col min="6423" max="6437" width="9.140625" style="2" customWidth="1"/>
    <col min="6438" max="6438" width="10.7109375" style="2" customWidth="1"/>
    <col min="6439" max="6439" width="8.7109375" style="2" bestFit="1" customWidth="1"/>
    <col min="6440" max="6440" width="8.28515625" style="2" bestFit="1" customWidth="1"/>
    <col min="6441" max="6441" width="8.140625" style="2" customWidth="1"/>
    <col min="6442" max="6442" width="9.140625" style="2" customWidth="1"/>
    <col min="6443" max="6443" width="8" style="2" customWidth="1"/>
    <col min="6444" max="6444" width="7.85546875" style="2" bestFit="1" customWidth="1"/>
    <col min="6445" max="6445" width="9.42578125" style="2" customWidth="1"/>
    <col min="6446" max="6446" width="11" style="2" customWidth="1"/>
    <col min="6447" max="6447" width="6.42578125" style="2" customWidth="1"/>
    <col min="6448" max="6448" width="8.5703125" style="2" customWidth="1"/>
    <col min="6449" max="6449" width="9.42578125" style="2" customWidth="1"/>
    <col min="6450" max="6451" width="7.42578125" style="2" customWidth="1"/>
    <col min="6452" max="6452" width="10" style="2" bestFit="1" customWidth="1"/>
    <col min="6453" max="6453" width="8.42578125" style="2" bestFit="1" customWidth="1"/>
    <col min="6454" max="6454" width="9" style="2" bestFit="1" customWidth="1"/>
    <col min="6455" max="6455" width="7.7109375" style="2" customWidth="1"/>
    <col min="6456" max="6457" width="8.85546875" style="2" customWidth="1"/>
    <col min="6458" max="6458" width="10" style="2" bestFit="1" customWidth="1"/>
    <col min="6459" max="6459" width="8.7109375" style="2" customWidth="1"/>
    <col min="6460" max="6460" width="10.28515625" style="2" bestFit="1" customWidth="1"/>
    <col min="6461" max="6461" width="7.42578125" style="2" bestFit="1" customWidth="1"/>
    <col min="6462" max="6462" width="8.7109375" style="2" bestFit="1" customWidth="1"/>
    <col min="6463" max="6463" width="6.140625" style="2" bestFit="1" customWidth="1"/>
    <col min="6464" max="6464" width="8" style="2" customWidth="1"/>
    <col min="6465" max="6465" width="9.140625" style="2" customWidth="1"/>
    <col min="6466" max="6466" width="12.140625" style="2" customWidth="1"/>
    <col min="6467" max="6467" width="8.28515625" style="2" bestFit="1" customWidth="1"/>
    <col min="6468" max="6468" width="9.85546875" style="2" bestFit="1" customWidth="1"/>
    <col min="6469" max="6469" width="7.42578125" style="2" bestFit="1" customWidth="1"/>
    <col min="6470" max="6470" width="11.140625" style="2" bestFit="1" customWidth="1"/>
    <col min="6471" max="6471" width="10.42578125" style="2" bestFit="1" customWidth="1"/>
    <col min="6472" max="6674" width="9.140625" style="2"/>
    <col min="6675" max="6675" width="7" style="2" customWidth="1"/>
    <col min="6676" max="6676" width="10" style="2" customWidth="1"/>
    <col min="6677" max="6677" width="7.7109375" style="2" customWidth="1"/>
    <col min="6678" max="6678" width="31.42578125" style="2" bestFit="1" customWidth="1"/>
    <col min="6679" max="6693" width="9.140625" style="2" customWidth="1"/>
    <col min="6694" max="6694" width="10.7109375" style="2" customWidth="1"/>
    <col min="6695" max="6695" width="8.7109375" style="2" bestFit="1" customWidth="1"/>
    <col min="6696" max="6696" width="8.28515625" style="2" bestFit="1" customWidth="1"/>
    <col min="6697" max="6697" width="8.140625" style="2" customWidth="1"/>
    <col min="6698" max="6698" width="9.140625" style="2" customWidth="1"/>
    <col min="6699" max="6699" width="8" style="2" customWidth="1"/>
    <col min="6700" max="6700" width="7.85546875" style="2" bestFit="1" customWidth="1"/>
    <col min="6701" max="6701" width="9.42578125" style="2" customWidth="1"/>
    <col min="6702" max="6702" width="11" style="2" customWidth="1"/>
    <col min="6703" max="6703" width="6.42578125" style="2" customWidth="1"/>
    <col min="6704" max="6704" width="8.5703125" style="2" customWidth="1"/>
    <col min="6705" max="6705" width="9.42578125" style="2" customWidth="1"/>
    <col min="6706" max="6707" width="7.42578125" style="2" customWidth="1"/>
    <col min="6708" max="6708" width="10" style="2" bestFit="1" customWidth="1"/>
    <col min="6709" max="6709" width="8.42578125" style="2" bestFit="1" customWidth="1"/>
    <col min="6710" max="6710" width="9" style="2" bestFit="1" customWidth="1"/>
    <col min="6711" max="6711" width="7.7109375" style="2" customWidth="1"/>
    <col min="6712" max="6713" width="8.85546875" style="2" customWidth="1"/>
    <col min="6714" max="6714" width="10" style="2" bestFit="1" customWidth="1"/>
    <col min="6715" max="6715" width="8.7109375" style="2" customWidth="1"/>
    <col min="6716" max="6716" width="10.28515625" style="2" bestFit="1" customWidth="1"/>
    <col min="6717" max="6717" width="7.42578125" style="2" bestFit="1" customWidth="1"/>
    <col min="6718" max="6718" width="8.7109375" style="2" bestFit="1" customWidth="1"/>
    <col min="6719" max="6719" width="6.140625" style="2" bestFit="1" customWidth="1"/>
    <col min="6720" max="6720" width="8" style="2" customWidth="1"/>
    <col min="6721" max="6721" width="9.140625" style="2" customWidth="1"/>
    <col min="6722" max="6722" width="12.140625" style="2" customWidth="1"/>
    <col min="6723" max="6723" width="8.28515625" style="2" bestFit="1" customWidth="1"/>
    <col min="6724" max="6724" width="9.85546875" style="2" bestFit="1" customWidth="1"/>
    <col min="6725" max="6725" width="7.42578125" style="2" bestFit="1" customWidth="1"/>
    <col min="6726" max="6726" width="11.140625" style="2" bestFit="1" customWidth="1"/>
    <col min="6727" max="6727" width="10.42578125" style="2" bestFit="1" customWidth="1"/>
    <col min="6728" max="6930" width="9.140625" style="2"/>
    <col min="6931" max="6931" width="7" style="2" customWidth="1"/>
    <col min="6932" max="6932" width="10" style="2" customWidth="1"/>
    <col min="6933" max="6933" width="7.7109375" style="2" customWidth="1"/>
    <col min="6934" max="6934" width="31.42578125" style="2" bestFit="1" customWidth="1"/>
    <col min="6935" max="6949" width="9.140625" style="2" customWidth="1"/>
    <col min="6950" max="6950" width="10.7109375" style="2" customWidth="1"/>
    <col min="6951" max="6951" width="8.7109375" style="2" bestFit="1" customWidth="1"/>
    <col min="6952" max="6952" width="8.28515625" style="2" bestFit="1" customWidth="1"/>
    <col min="6953" max="6953" width="8.140625" style="2" customWidth="1"/>
    <col min="6954" max="6954" width="9.140625" style="2" customWidth="1"/>
    <col min="6955" max="6955" width="8" style="2" customWidth="1"/>
    <col min="6956" max="6956" width="7.85546875" style="2" bestFit="1" customWidth="1"/>
    <col min="6957" max="6957" width="9.42578125" style="2" customWidth="1"/>
    <col min="6958" max="6958" width="11" style="2" customWidth="1"/>
    <col min="6959" max="6959" width="6.42578125" style="2" customWidth="1"/>
    <col min="6960" max="6960" width="8.5703125" style="2" customWidth="1"/>
    <col min="6961" max="6961" width="9.42578125" style="2" customWidth="1"/>
    <col min="6962" max="6963" width="7.42578125" style="2" customWidth="1"/>
    <col min="6964" max="6964" width="10" style="2" bestFit="1" customWidth="1"/>
    <col min="6965" max="6965" width="8.42578125" style="2" bestFit="1" customWidth="1"/>
    <col min="6966" max="6966" width="9" style="2" bestFit="1" customWidth="1"/>
    <col min="6967" max="6967" width="7.7109375" style="2" customWidth="1"/>
    <col min="6968" max="6969" width="8.85546875" style="2" customWidth="1"/>
    <col min="6970" max="6970" width="10" style="2" bestFit="1" customWidth="1"/>
    <col min="6971" max="6971" width="8.7109375" style="2" customWidth="1"/>
    <col min="6972" max="6972" width="10.28515625" style="2" bestFit="1" customWidth="1"/>
    <col min="6973" max="6973" width="7.42578125" style="2" bestFit="1" customWidth="1"/>
    <col min="6974" max="6974" width="8.7109375" style="2" bestFit="1" customWidth="1"/>
    <col min="6975" max="6975" width="6.140625" style="2" bestFit="1" customWidth="1"/>
    <col min="6976" max="6976" width="8" style="2" customWidth="1"/>
    <col min="6977" max="6977" width="9.140625" style="2" customWidth="1"/>
    <col min="6978" max="6978" width="12.140625" style="2" customWidth="1"/>
    <col min="6979" max="6979" width="8.28515625" style="2" bestFit="1" customWidth="1"/>
    <col min="6980" max="6980" width="9.85546875" style="2" bestFit="1" customWidth="1"/>
    <col min="6981" max="6981" width="7.42578125" style="2" bestFit="1" customWidth="1"/>
    <col min="6982" max="6982" width="11.140625" style="2" bestFit="1" customWidth="1"/>
    <col min="6983" max="6983" width="10.42578125" style="2" bestFit="1" customWidth="1"/>
    <col min="6984" max="7186" width="9.140625" style="2"/>
    <col min="7187" max="7187" width="7" style="2" customWidth="1"/>
    <col min="7188" max="7188" width="10" style="2" customWidth="1"/>
    <col min="7189" max="7189" width="7.7109375" style="2" customWidth="1"/>
    <col min="7190" max="7190" width="31.42578125" style="2" bestFit="1" customWidth="1"/>
    <col min="7191" max="7205" width="9.140625" style="2" customWidth="1"/>
    <col min="7206" max="7206" width="10.7109375" style="2" customWidth="1"/>
    <col min="7207" max="7207" width="8.7109375" style="2" bestFit="1" customWidth="1"/>
    <col min="7208" max="7208" width="8.28515625" style="2" bestFit="1" customWidth="1"/>
    <col min="7209" max="7209" width="8.140625" style="2" customWidth="1"/>
    <col min="7210" max="7210" width="9.140625" style="2" customWidth="1"/>
    <col min="7211" max="7211" width="8" style="2" customWidth="1"/>
    <col min="7212" max="7212" width="7.85546875" style="2" bestFit="1" customWidth="1"/>
    <col min="7213" max="7213" width="9.42578125" style="2" customWidth="1"/>
    <col min="7214" max="7214" width="11" style="2" customWidth="1"/>
    <col min="7215" max="7215" width="6.42578125" style="2" customWidth="1"/>
    <col min="7216" max="7216" width="8.5703125" style="2" customWidth="1"/>
    <col min="7217" max="7217" width="9.42578125" style="2" customWidth="1"/>
    <col min="7218" max="7219" width="7.42578125" style="2" customWidth="1"/>
    <col min="7220" max="7220" width="10" style="2" bestFit="1" customWidth="1"/>
    <col min="7221" max="7221" width="8.42578125" style="2" bestFit="1" customWidth="1"/>
    <col min="7222" max="7222" width="9" style="2" bestFit="1" customWidth="1"/>
    <col min="7223" max="7223" width="7.7109375" style="2" customWidth="1"/>
    <col min="7224" max="7225" width="8.85546875" style="2" customWidth="1"/>
    <col min="7226" max="7226" width="10" style="2" bestFit="1" customWidth="1"/>
    <col min="7227" max="7227" width="8.7109375" style="2" customWidth="1"/>
    <col min="7228" max="7228" width="10.28515625" style="2" bestFit="1" customWidth="1"/>
    <col min="7229" max="7229" width="7.42578125" style="2" bestFit="1" customWidth="1"/>
    <col min="7230" max="7230" width="8.7109375" style="2" bestFit="1" customWidth="1"/>
    <col min="7231" max="7231" width="6.140625" style="2" bestFit="1" customWidth="1"/>
    <col min="7232" max="7232" width="8" style="2" customWidth="1"/>
    <col min="7233" max="7233" width="9.140625" style="2" customWidth="1"/>
    <col min="7234" max="7234" width="12.140625" style="2" customWidth="1"/>
    <col min="7235" max="7235" width="8.28515625" style="2" bestFit="1" customWidth="1"/>
    <col min="7236" max="7236" width="9.85546875" style="2" bestFit="1" customWidth="1"/>
    <col min="7237" max="7237" width="7.42578125" style="2" bestFit="1" customWidth="1"/>
    <col min="7238" max="7238" width="11.140625" style="2" bestFit="1" customWidth="1"/>
    <col min="7239" max="7239" width="10.42578125" style="2" bestFit="1" customWidth="1"/>
    <col min="7240" max="7442" width="9.140625" style="2"/>
    <col min="7443" max="7443" width="7" style="2" customWidth="1"/>
    <col min="7444" max="7444" width="10" style="2" customWidth="1"/>
    <col min="7445" max="7445" width="7.7109375" style="2" customWidth="1"/>
    <col min="7446" max="7446" width="31.42578125" style="2" bestFit="1" customWidth="1"/>
    <col min="7447" max="7461" width="9.140625" style="2" customWidth="1"/>
    <col min="7462" max="7462" width="10.7109375" style="2" customWidth="1"/>
    <col min="7463" max="7463" width="8.7109375" style="2" bestFit="1" customWidth="1"/>
    <col min="7464" max="7464" width="8.28515625" style="2" bestFit="1" customWidth="1"/>
    <col min="7465" max="7465" width="8.140625" style="2" customWidth="1"/>
    <col min="7466" max="7466" width="9.140625" style="2" customWidth="1"/>
    <col min="7467" max="7467" width="8" style="2" customWidth="1"/>
    <col min="7468" max="7468" width="7.85546875" style="2" bestFit="1" customWidth="1"/>
    <col min="7469" max="7469" width="9.42578125" style="2" customWidth="1"/>
    <col min="7470" max="7470" width="11" style="2" customWidth="1"/>
    <col min="7471" max="7471" width="6.42578125" style="2" customWidth="1"/>
    <col min="7472" max="7472" width="8.5703125" style="2" customWidth="1"/>
    <col min="7473" max="7473" width="9.42578125" style="2" customWidth="1"/>
    <col min="7474" max="7475" width="7.42578125" style="2" customWidth="1"/>
    <col min="7476" max="7476" width="10" style="2" bestFit="1" customWidth="1"/>
    <col min="7477" max="7477" width="8.42578125" style="2" bestFit="1" customWidth="1"/>
    <col min="7478" max="7478" width="9" style="2" bestFit="1" customWidth="1"/>
    <col min="7479" max="7479" width="7.7109375" style="2" customWidth="1"/>
    <col min="7480" max="7481" width="8.85546875" style="2" customWidth="1"/>
    <col min="7482" max="7482" width="10" style="2" bestFit="1" customWidth="1"/>
    <col min="7483" max="7483" width="8.7109375" style="2" customWidth="1"/>
    <col min="7484" max="7484" width="10.28515625" style="2" bestFit="1" customWidth="1"/>
    <col min="7485" max="7485" width="7.42578125" style="2" bestFit="1" customWidth="1"/>
    <col min="7486" max="7486" width="8.7109375" style="2" bestFit="1" customWidth="1"/>
    <col min="7487" max="7487" width="6.140625" style="2" bestFit="1" customWidth="1"/>
    <col min="7488" max="7488" width="8" style="2" customWidth="1"/>
    <col min="7489" max="7489" width="9.140625" style="2" customWidth="1"/>
    <col min="7490" max="7490" width="12.140625" style="2" customWidth="1"/>
    <col min="7491" max="7491" width="8.28515625" style="2" bestFit="1" customWidth="1"/>
    <col min="7492" max="7492" width="9.85546875" style="2" bestFit="1" customWidth="1"/>
    <col min="7493" max="7493" width="7.42578125" style="2" bestFit="1" customWidth="1"/>
    <col min="7494" max="7494" width="11.140625" style="2" bestFit="1" customWidth="1"/>
    <col min="7495" max="7495" width="10.42578125" style="2" bestFit="1" customWidth="1"/>
    <col min="7496" max="7698" width="9.140625" style="2"/>
    <col min="7699" max="7699" width="7" style="2" customWidth="1"/>
    <col min="7700" max="7700" width="10" style="2" customWidth="1"/>
    <col min="7701" max="7701" width="7.7109375" style="2" customWidth="1"/>
    <col min="7702" max="7702" width="31.42578125" style="2" bestFit="1" customWidth="1"/>
    <col min="7703" max="7717" width="9.140625" style="2" customWidth="1"/>
    <col min="7718" max="7718" width="10.7109375" style="2" customWidth="1"/>
    <col min="7719" max="7719" width="8.7109375" style="2" bestFit="1" customWidth="1"/>
    <col min="7720" max="7720" width="8.28515625" style="2" bestFit="1" customWidth="1"/>
    <col min="7721" max="7721" width="8.140625" style="2" customWidth="1"/>
    <col min="7722" max="7722" width="9.140625" style="2" customWidth="1"/>
    <col min="7723" max="7723" width="8" style="2" customWidth="1"/>
    <col min="7724" max="7724" width="7.85546875" style="2" bestFit="1" customWidth="1"/>
    <col min="7725" max="7725" width="9.42578125" style="2" customWidth="1"/>
    <col min="7726" max="7726" width="11" style="2" customWidth="1"/>
    <col min="7727" max="7727" width="6.42578125" style="2" customWidth="1"/>
    <col min="7728" max="7728" width="8.5703125" style="2" customWidth="1"/>
    <col min="7729" max="7729" width="9.42578125" style="2" customWidth="1"/>
    <col min="7730" max="7731" width="7.42578125" style="2" customWidth="1"/>
    <col min="7732" max="7732" width="10" style="2" bestFit="1" customWidth="1"/>
    <col min="7733" max="7733" width="8.42578125" style="2" bestFit="1" customWidth="1"/>
    <col min="7734" max="7734" width="9" style="2" bestFit="1" customWidth="1"/>
    <col min="7735" max="7735" width="7.7109375" style="2" customWidth="1"/>
    <col min="7736" max="7737" width="8.85546875" style="2" customWidth="1"/>
    <col min="7738" max="7738" width="10" style="2" bestFit="1" customWidth="1"/>
    <col min="7739" max="7739" width="8.7109375" style="2" customWidth="1"/>
    <col min="7740" max="7740" width="10.28515625" style="2" bestFit="1" customWidth="1"/>
    <col min="7741" max="7741" width="7.42578125" style="2" bestFit="1" customWidth="1"/>
    <col min="7742" max="7742" width="8.7109375" style="2" bestFit="1" customWidth="1"/>
    <col min="7743" max="7743" width="6.140625" style="2" bestFit="1" customWidth="1"/>
    <col min="7744" max="7744" width="8" style="2" customWidth="1"/>
    <col min="7745" max="7745" width="9.140625" style="2" customWidth="1"/>
    <col min="7746" max="7746" width="12.140625" style="2" customWidth="1"/>
    <col min="7747" max="7747" width="8.28515625" style="2" bestFit="1" customWidth="1"/>
    <col min="7748" max="7748" width="9.85546875" style="2" bestFit="1" customWidth="1"/>
    <col min="7749" max="7749" width="7.42578125" style="2" bestFit="1" customWidth="1"/>
    <col min="7750" max="7750" width="11.140625" style="2" bestFit="1" customWidth="1"/>
    <col min="7751" max="7751" width="10.42578125" style="2" bestFit="1" customWidth="1"/>
    <col min="7752" max="7954" width="9.140625" style="2"/>
    <col min="7955" max="7955" width="7" style="2" customWidth="1"/>
    <col min="7956" max="7956" width="10" style="2" customWidth="1"/>
    <col min="7957" max="7957" width="7.7109375" style="2" customWidth="1"/>
    <col min="7958" max="7958" width="31.42578125" style="2" bestFit="1" customWidth="1"/>
    <col min="7959" max="7973" width="9.140625" style="2" customWidth="1"/>
    <col min="7974" max="7974" width="10.7109375" style="2" customWidth="1"/>
    <col min="7975" max="7975" width="8.7109375" style="2" bestFit="1" customWidth="1"/>
    <col min="7976" max="7976" width="8.28515625" style="2" bestFit="1" customWidth="1"/>
    <col min="7977" max="7977" width="8.140625" style="2" customWidth="1"/>
    <col min="7978" max="7978" width="9.140625" style="2" customWidth="1"/>
    <col min="7979" max="7979" width="8" style="2" customWidth="1"/>
    <col min="7980" max="7980" width="7.85546875" style="2" bestFit="1" customWidth="1"/>
    <col min="7981" max="7981" width="9.42578125" style="2" customWidth="1"/>
    <col min="7982" max="7982" width="11" style="2" customWidth="1"/>
    <col min="7983" max="7983" width="6.42578125" style="2" customWidth="1"/>
    <col min="7984" max="7984" width="8.5703125" style="2" customWidth="1"/>
    <col min="7985" max="7985" width="9.42578125" style="2" customWidth="1"/>
    <col min="7986" max="7987" width="7.42578125" style="2" customWidth="1"/>
    <col min="7988" max="7988" width="10" style="2" bestFit="1" customWidth="1"/>
    <col min="7989" max="7989" width="8.42578125" style="2" bestFit="1" customWidth="1"/>
    <col min="7990" max="7990" width="9" style="2" bestFit="1" customWidth="1"/>
    <col min="7991" max="7991" width="7.7109375" style="2" customWidth="1"/>
    <col min="7992" max="7993" width="8.85546875" style="2" customWidth="1"/>
    <col min="7994" max="7994" width="10" style="2" bestFit="1" customWidth="1"/>
    <col min="7995" max="7995" width="8.7109375" style="2" customWidth="1"/>
    <col min="7996" max="7996" width="10.28515625" style="2" bestFit="1" customWidth="1"/>
    <col min="7997" max="7997" width="7.42578125" style="2" bestFit="1" customWidth="1"/>
    <col min="7998" max="7998" width="8.7109375" style="2" bestFit="1" customWidth="1"/>
    <col min="7999" max="7999" width="6.140625" style="2" bestFit="1" customWidth="1"/>
    <col min="8000" max="8000" width="8" style="2" customWidth="1"/>
    <col min="8001" max="8001" width="9.140625" style="2" customWidth="1"/>
    <col min="8002" max="8002" width="12.140625" style="2" customWidth="1"/>
    <col min="8003" max="8003" width="8.28515625" style="2" bestFit="1" customWidth="1"/>
    <col min="8004" max="8004" width="9.85546875" style="2" bestFit="1" customWidth="1"/>
    <col min="8005" max="8005" width="7.42578125" style="2" bestFit="1" customWidth="1"/>
    <col min="8006" max="8006" width="11.140625" style="2" bestFit="1" customWidth="1"/>
    <col min="8007" max="8007" width="10.42578125" style="2" bestFit="1" customWidth="1"/>
    <col min="8008" max="8210" width="9.140625" style="2"/>
    <col min="8211" max="8211" width="7" style="2" customWidth="1"/>
    <col min="8212" max="8212" width="10" style="2" customWidth="1"/>
    <col min="8213" max="8213" width="7.7109375" style="2" customWidth="1"/>
    <col min="8214" max="8214" width="31.42578125" style="2" bestFit="1" customWidth="1"/>
    <col min="8215" max="8229" width="9.140625" style="2" customWidth="1"/>
    <col min="8230" max="8230" width="10.7109375" style="2" customWidth="1"/>
    <col min="8231" max="8231" width="8.7109375" style="2" bestFit="1" customWidth="1"/>
    <col min="8232" max="8232" width="8.28515625" style="2" bestFit="1" customWidth="1"/>
    <col min="8233" max="8233" width="8.140625" style="2" customWidth="1"/>
    <col min="8234" max="8234" width="9.140625" style="2" customWidth="1"/>
    <col min="8235" max="8235" width="8" style="2" customWidth="1"/>
    <col min="8236" max="8236" width="7.85546875" style="2" bestFit="1" customWidth="1"/>
    <col min="8237" max="8237" width="9.42578125" style="2" customWidth="1"/>
    <col min="8238" max="8238" width="11" style="2" customWidth="1"/>
    <col min="8239" max="8239" width="6.42578125" style="2" customWidth="1"/>
    <col min="8240" max="8240" width="8.5703125" style="2" customWidth="1"/>
    <col min="8241" max="8241" width="9.42578125" style="2" customWidth="1"/>
    <col min="8242" max="8243" width="7.42578125" style="2" customWidth="1"/>
    <col min="8244" max="8244" width="10" style="2" bestFit="1" customWidth="1"/>
    <col min="8245" max="8245" width="8.42578125" style="2" bestFit="1" customWidth="1"/>
    <col min="8246" max="8246" width="9" style="2" bestFit="1" customWidth="1"/>
    <col min="8247" max="8247" width="7.7109375" style="2" customWidth="1"/>
    <col min="8248" max="8249" width="8.85546875" style="2" customWidth="1"/>
    <col min="8250" max="8250" width="10" style="2" bestFit="1" customWidth="1"/>
    <col min="8251" max="8251" width="8.7109375" style="2" customWidth="1"/>
    <col min="8252" max="8252" width="10.28515625" style="2" bestFit="1" customWidth="1"/>
    <col min="8253" max="8253" width="7.42578125" style="2" bestFit="1" customWidth="1"/>
    <col min="8254" max="8254" width="8.7109375" style="2" bestFit="1" customWidth="1"/>
    <col min="8255" max="8255" width="6.140625" style="2" bestFit="1" customWidth="1"/>
    <col min="8256" max="8256" width="8" style="2" customWidth="1"/>
    <col min="8257" max="8257" width="9.140625" style="2" customWidth="1"/>
    <col min="8258" max="8258" width="12.140625" style="2" customWidth="1"/>
    <col min="8259" max="8259" width="8.28515625" style="2" bestFit="1" customWidth="1"/>
    <col min="8260" max="8260" width="9.85546875" style="2" bestFit="1" customWidth="1"/>
    <col min="8261" max="8261" width="7.42578125" style="2" bestFit="1" customWidth="1"/>
    <col min="8262" max="8262" width="11.140625" style="2" bestFit="1" customWidth="1"/>
    <col min="8263" max="8263" width="10.42578125" style="2" bestFit="1" customWidth="1"/>
    <col min="8264" max="8466" width="9.140625" style="2"/>
    <col min="8467" max="8467" width="7" style="2" customWidth="1"/>
    <col min="8468" max="8468" width="10" style="2" customWidth="1"/>
    <col min="8469" max="8469" width="7.7109375" style="2" customWidth="1"/>
    <col min="8470" max="8470" width="31.42578125" style="2" bestFit="1" customWidth="1"/>
    <col min="8471" max="8485" width="9.140625" style="2" customWidth="1"/>
    <col min="8486" max="8486" width="10.7109375" style="2" customWidth="1"/>
    <col min="8487" max="8487" width="8.7109375" style="2" bestFit="1" customWidth="1"/>
    <col min="8488" max="8488" width="8.28515625" style="2" bestFit="1" customWidth="1"/>
    <col min="8489" max="8489" width="8.140625" style="2" customWidth="1"/>
    <col min="8490" max="8490" width="9.140625" style="2" customWidth="1"/>
    <col min="8491" max="8491" width="8" style="2" customWidth="1"/>
    <col min="8492" max="8492" width="7.85546875" style="2" bestFit="1" customWidth="1"/>
    <col min="8493" max="8493" width="9.42578125" style="2" customWidth="1"/>
    <col min="8494" max="8494" width="11" style="2" customWidth="1"/>
    <col min="8495" max="8495" width="6.42578125" style="2" customWidth="1"/>
    <col min="8496" max="8496" width="8.5703125" style="2" customWidth="1"/>
    <col min="8497" max="8497" width="9.42578125" style="2" customWidth="1"/>
    <col min="8498" max="8499" width="7.42578125" style="2" customWidth="1"/>
    <col min="8500" max="8500" width="10" style="2" bestFit="1" customWidth="1"/>
    <col min="8501" max="8501" width="8.42578125" style="2" bestFit="1" customWidth="1"/>
    <col min="8502" max="8502" width="9" style="2" bestFit="1" customWidth="1"/>
    <col min="8503" max="8503" width="7.7109375" style="2" customWidth="1"/>
    <col min="8504" max="8505" width="8.85546875" style="2" customWidth="1"/>
    <col min="8506" max="8506" width="10" style="2" bestFit="1" customWidth="1"/>
    <col min="8507" max="8507" width="8.7109375" style="2" customWidth="1"/>
    <col min="8508" max="8508" width="10.28515625" style="2" bestFit="1" customWidth="1"/>
    <col min="8509" max="8509" width="7.42578125" style="2" bestFit="1" customWidth="1"/>
    <col min="8510" max="8510" width="8.7109375" style="2" bestFit="1" customWidth="1"/>
    <col min="8511" max="8511" width="6.140625" style="2" bestFit="1" customWidth="1"/>
    <col min="8512" max="8512" width="8" style="2" customWidth="1"/>
    <col min="8513" max="8513" width="9.140625" style="2" customWidth="1"/>
    <col min="8514" max="8514" width="12.140625" style="2" customWidth="1"/>
    <col min="8515" max="8515" width="8.28515625" style="2" bestFit="1" customWidth="1"/>
    <col min="8516" max="8516" width="9.85546875" style="2" bestFit="1" customWidth="1"/>
    <col min="8517" max="8517" width="7.42578125" style="2" bestFit="1" customWidth="1"/>
    <col min="8518" max="8518" width="11.140625" style="2" bestFit="1" customWidth="1"/>
    <col min="8519" max="8519" width="10.42578125" style="2" bestFit="1" customWidth="1"/>
    <col min="8520" max="8722" width="9.140625" style="2"/>
    <col min="8723" max="8723" width="7" style="2" customWidth="1"/>
    <col min="8724" max="8724" width="10" style="2" customWidth="1"/>
    <col min="8725" max="8725" width="7.7109375" style="2" customWidth="1"/>
    <col min="8726" max="8726" width="31.42578125" style="2" bestFit="1" customWidth="1"/>
    <col min="8727" max="8741" width="9.140625" style="2" customWidth="1"/>
    <col min="8742" max="8742" width="10.7109375" style="2" customWidth="1"/>
    <col min="8743" max="8743" width="8.7109375" style="2" bestFit="1" customWidth="1"/>
    <col min="8744" max="8744" width="8.28515625" style="2" bestFit="1" customWidth="1"/>
    <col min="8745" max="8745" width="8.140625" style="2" customWidth="1"/>
    <col min="8746" max="8746" width="9.140625" style="2" customWidth="1"/>
    <col min="8747" max="8747" width="8" style="2" customWidth="1"/>
    <col min="8748" max="8748" width="7.85546875" style="2" bestFit="1" customWidth="1"/>
    <col min="8749" max="8749" width="9.42578125" style="2" customWidth="1"/>
    <col min="8750" max="8750" width="11" style="2" customWidth="1"/>
    <col min="8751" max="8751" width="6.42578125" style="2" customWidth="1"/>
    <col min="8752" max="8752" width="8.5703125" style="2" customWidth="1"/>
    <col min="8753" max="8753" width="9.42578125" style="2" customWidth="1"/>
    <col min="8754" max="8755" width="7.42578125" style="2" customWidth="1"/>
    <col min="8756" max="8756" width="10" style="2" bestFit="1" customWidth="1"/>
    <col min="8757" max="8757" width="8.42578125" style="2" bestFit="1" customWidth="1"/>
    <col min="8758" max="8758" width="9" style="2" bestFit="1" customWidth="1"/>
    <col min="8759" max="8759" width="7.7109375" style="2" customWidth="1"/>
    <col min="8760" max="8761" width="8.85546875" style="2" customWidth="1"/>
    <col min="8762" max="8762" width="10" style="2" bestFit="1" customWidth="1"/>
    <col min="8763" max="8763" width="8.7109375" style="2" customWidth="1"/>
    <col min="8764" max="8764" width="10.28515625" style="2" bestFit="1" customWidth="1"/>
    <col min="8765" max="8765" width="7.42578125" style="2" bestFit="1" customWidth="1"/>
    <col min="8766" max="8766" width="8.7109375" style="2" bestFit="1" customWidth="1"/>
    <col min="8767" max="8767" width="6.140625" style="2" bestFit="1" customWidth="1"/>
    <col min="8768" max="8768" width="8" style="2" customWidth="1"/>
    <col min="8769" max="8769" width="9.140625" style="2" customWidth="1"/>
    <col min="8770" max="8770" width="12.140625" style="2" customWidth="1"/>
    <col min="8771" max="8771" width="8.28515625" style="2" bestFit="1" customWidth="1"/>
    <col min="8772" max="8772" width="9.85546875" style="2" bestFit="1" customWidth="1"/>
    <col min="8773" max="8773" width="7.42578125" style="2" bestFit="1" customWidth="1"/>
    <col min="8774" max="8774" width="11.140625" style="2" bestFit="1" customWidth="1"/>
    <col min="8775" max="8775" width="10.42578125" style="2" bestFit="1" customWidth="1"/>
    <col min="8776" max="8978" width="9.140625" style="2"/>
    <col min="8979" max="8979" width="7" style="2" customWidth="1"/>
    <col min="8980" max="8980" width="10" style="2" customWidth="1"/>
    <col min="8981" max="8981" width="7.7109375" style="2" customWidth="1"/>
    <col min="8982" max="8982" width="31.42578125" style="2" bestFit="1" customWidth="1"/>
    <col min="8983" max="8997" width="9.140625" style="2" customWidth="1"/>
    <col min="8998" max="8998" width="10.7109375" style="2" customWidth="1"/>
    <col min="8999" max="8999" width="8.7109375" style="2" bestFit="1" customWidth="1"/>
    <col min="9000" max="9000" width="8.28515625" style="2" bestFit="1" customWidth="1"/>
    <col min="9001" max="9001" width="8.140625" style="2" customWidth="1"/>
    <col min="9002" max="9002" width="9.140625" style="2" customWidth="1"/>
    <col min="9003" max="9003" width="8" style="2" customWidth="1"/>
    <col min="9004" max="9004" width="7.85546875" style="2" bestFit="1" customWidth="1"/>
    <col min="9005" max="9005" width="9.42578125" style="2" customWidth="1"/>
    <col min="9006" max="9006" width="11" style="2" customWidth="1"/>
    <col min="9007" max="9007" width="6.42578125" style="2" customWidth="1"/>
    <col min="9008" max="9008" width="8.5703125" style="2" customWidth="1"/>
    <col min="9009" max="9009" width="9.42578125" style="2" customWidth="1"/>
    <col min="9010" max="9011" width="7.42578125" style="2" customWidth="1"/>
    <col min="9012" max="9012" width="10" style="2" bestFit="1" customWidth="1"/>
    <col min="9013" max="9013" width="8.42578125" style="2" bestFit="1" customWidth="1"/>
    <col min="9014" max="9014" width="9" style="2" bestFit="1" customWidth="1"/>
    <col min="9015" max="9015" width="7.7109375" style="2" customWidth="1"/>
    <col min="9016" max="9017" width="8.85546875" style="2" customWidth="1"/>
    <col min="9018" max="9018" width="10" style="2" bestFit="1" customWidth="1"/>
    <col min="9019" max="9019" width="8.7109375" style="2" customWidth="1"/>
    <col min="9020" max="9020" width="10.28515625" style="2" bestFit="1" customWidth="1"/>
    <col min="9021" max="9021" width="7.42578125" style="2" bestFit="1" customWidth="1"/>
    <col min="9022" max="9022" width="8.7109375" style="2" bestFit="1" customWidth="1"/>
    <col min="9023" max="9023" width="6.140625" style="2" bestFit="1" customWidth="1"/>
    <col min="9024" max="9024" width="8" style="2" customWidth="1"/>
    <col min="9025" max="9025" width="9.140625" style="2" customWidth="1"/>
    <col min="9026" max="9026" width="12.140625" style="2" customWidth="1"/>
    <col min="9027" max="9027" width="8.28515625" style="2" bestFit="1" customWidth="1"/>
    <col min="9028" max="9028" width="9.85546875" style="2" bestFit="1" customWidth="1"/>
    <col min="9029" max="9029" width="7.42578125" style="2" bestFit="1" customWidth="1"/>
    <col min="9030" max="9030" width="11.140625" style="2" bestFit="1" customWidth="1"/>
    <col min="9031" max="9031" width="10.42578125" style="2" bestFit="1" customWidth="1"/>
    <col min="9032" max="9234" width="9.140625" style="2"/>
    <col min="9235" max="9235" width="7" style="2" customWidth="1"/>
    <col min="9236" max="9236" width="10" style="2" customWidth="1"/>
    <col min="9237" max="9237" width="7.7109375" style="2" customWidth="1"/>
    <col min="9238" max="9238" width="31.42578125" style="2" bestFit="1" customWidth="1"/>
    <col min="9239" max="9253" width="9.140625" style="2" customWidth="1"/>
    <col min="9254" max="9254" width="10.7109375" style="2" customWidth="1"/>
    <col min="9255" max="9255" width="8.7109375" style="2" bestFit="1" customWidth="1"/>
    <col min="9256" max="9256" width="8.28515625" style="2" bestFit="1" customWidth="1"/>
    <col min="9257" max="9257" width="8.140625" style="2" customWidth="1"/>
    <col min="9258" max="9258" width="9.140625" style="2" customWidth="1"/>
    <col min="9259" max="9259" width="8" style="2" customWidth="1"/>
    <col min="9260" max="9260" width="7.85546875" style="2" bestFit="1" customWidth="1"/>
    <col min="9261" max="9261" width="9.42578125" style="2" customWidth="1"/>
    <col min="9262" max="9262" width="11" style="2" customWidth="1"/>
    <col min="9263" max="9263" width="6.42578125" style="2" customWidth="1"/>
    <col min="9264" max="9264" width="8.5703125" style="2" customWidth="1"/>
    <col min="9265" max="9265" width="9.42578125" style="2" customWidth="1"/>
    <col min="9266" max="9267" width="7.42578125" style="2" customWidth="1"/>
    <col min="9268" max="9268" width="10" style="2" bestFit="1" customWidth="1"/>
    <col min="9269" max="9269" width="8.42578125" style="2" bestFit="1" customWidth="1"/>
    <col min="9270" max="9270" width="9" style="2" bestFit="1" customWidth="1"/>
    <col min="9271" max="9271" width="7.7109375" style="2" customWidth="1"/>
    <col min="9272" max="9273" width="8.85546875" style="2" customWidth="1"/>
    <col min="9274" max="9274" width="10" style="2" bestFit="1" customWidth="1"/>
    <col min="9275" max="9275" width="8.7109375" style="2" customWidth="1"/>
    <col min="9276" max="9276" width="10.28515625" style="2" bestFit="1" customWidth="1"/>
    <col min="9277" max="9277" width="7.42578125" style="2" bestFit="1" customWidth="1"/>
    <col min="9278" max="9278" width="8.7109375" style="2" bestFit="1" customWidth="1"/>
    <col min="9279" max="9279" width="6.140625" style="2" bestFit="1" customWidth="1"/>
    <col min="9280" max="9280" width="8" style="2" customWidth="1"/>
    <col min="9281" max="9281" width="9.140625" style="2" customWidth="1"/>
    <col min="9282" max="9282" width="12.140625" style="2" customWidth="1"/>
    <col min="9283" max="9283" width="8.28515625" style="2" bestFit="1" customWidth="1"/>
    <col min="9284" max="9284" width="9.85546875" style="2" bestFit="1" customWidth="1"/>
    <col min="9285" max="9285" width="7.42578125" style="2" bestFit="1" customWidth="1"/>
    <col min="9286" max="9286" width="11.140625" style="2" bestFit="1" customWidth="1"/>
    <col min="9287" max="9287" width="10.42578125" style="2" bestFit="1" customWidth="1"/>
    <col min="9288" max="9490" width="9.140625" style="2"/>
    <col min="9491" max="9491" width="7" style="2" customWidth="1"/>
    <col min="9492" max="9492" width="10" style="2" customWidth="1"/>
    <col min="9493" max="9493" width="7.7109375" style="2" customWidth="1"/>
    <col min="9494" max="9494" width="31.42578125" style="2" bestFit="1" customWidth="1"/>
    <col min="9495" max="9509" width="9.140625" style="2" customWidth="1"/>
    <col min="9510" max="9510" width="10.7109375" style="2" customWidth="1"/>
    <col min="9511" max="9511" width="8.7109375" style="2" bestFit="1" customWidth="1"/>
    <col min="9512" max="9512" width="8.28515625" style="2" bestFit="1" customWidth="1"/>
    <col min="9513" max="9513" width="8.140625" style="2" customWidth="1"/>
    <col min="9514" max="9514" width="9.140625" style="2" customWidth="1"/>
    <col min="9515" max="9515" width="8" style="2" customWidth="1"/>
    <col min="9516" max="9516" width="7.85546875" style="2" bestFit="1" customWidth="1"/>
    <col min="9517" max="9517" width="9.42578125" style="2" customWidth="1"/>
    <col min="9518" max="9518" width="11" style="2" customWidth="1"/>
    <col min="9519" max="9519" width="6.42578125" style="2" customWidth="1"/>
    <col min="9520" max="9520" width="8.5703125" style="2" customWidth="1"/>
    <col min="9521" max="9521" width="9.42578125" style="2" customWidth="1"/>
    <col min="9522" max="9523" width="7.42578125" style="2" customWidth="1"/>
    <col min="9524" max="9524" width="10" style="2" bestFit="1" customWidth="1"/>
    <col min="9525" max="9525" width="8.42578125" style="2" bestFit="1" customWidth="1"/>
    <col min="9526" max="9526" width="9" style="2" bestFit="1" customWidth="1"/>
    <col min="9527" max="9527" width="7.7109375" style="2" customWidth="1"/>
    <col min="9528" max="9529" width="8.85546875" style="2" customWidth="1"/>
    <col min="9530" max="9530" width="10" style="2" bestFit="1" customWidth="1"/>
    <col min="9531" max="9531" width="8.7109375" style="2" customWidth="1"/>
    <col min="9532" max="9532" width="10.28515625" style="2" bestFit="1" customWidth="1"/>
    <col min="9533" max="9533" width="7.42578125" style="2" bestFit="1" customWidth="1"/>
    <col min="9534" max="9534" width="8.7109375" style="2" bestFit="1" customWidth="1"/>
    <col min="9535" max="9535" width="6.140625" style="2" bestFit="1" customWidth="1"/>
    <col min="9536" max="9536" width="8" style="2" customWidth="1"/>
    <col min="9537" max="9537" width="9.140625" style="2" customWidth="1"/>
    <col min="9538" max="9538" width="12.140625" style="2" customWidth="1"/>
    <col min="9539" max="9539" width="8.28515625" style="2" bestFit="1" customWidth="1"/>
    <col min="9540" max="9540" width="9.85546875" style="2" bestFit="1" customWidth="1"/>
    <col min="9541" max="9541" width="7.42578125" style="2" bestFit="1" customWidth="1"/>
    <col min="9542" max="9542" width="11.140625" style="2" bestFit="1" customWidth="1"/>
    <col min="9543" max="9543" width="10.42578125" style="2" bestFit="1" customWidth="1"/>
    <col min="9544" max="9746" width="9.140625" style="2"/>
    <col min="9747" max="9747" width="7" style="2" customWidth="1"/>
    <col min="9748" max="9748" width="10" style="2" customWidth="1"/>
    <col min="9749" max="9749" width="7.7109375" style="2" customWidth="1"/>
    <col min="9750" max="9750" width="31.42578125" style="2" bestFit="1" customWidth="1"/>
    <col min="9751" max="9765" width="9.140625" style="2" customWidth="1"/>
    <col min="9766" max="9766" width="10.7109375" style="2" customWidth="1"/>
    <col min="9767" max="9767" width="8.7109375" style="2" bestFit="1" customWidth="1"/>
    <col min="9768" max="9768" width="8.28515625" style="2" bestFit="1" customWidth="1"/>
    <col min="9769" max="9769" width="8.140625" style="2" customWidth="1"/>
    <col min="9770" max="9770" width="9.140625" style="2" customWidth="1"/>
    <col min="9771" max="9771" width="8" style="2" customWidth="1"/>
    <col min="9772" max="9772" width="7.85546875" style="2" bestFit="1" customWidth="1"/>
    <col min="9773" max="9773" width="9.42578125" style="2" customWidth="1"/>
    <col min="9774" max="9774" width="11" style="2" customWidth="1"/>
    <col min="9775" max="9775" width="6.42578125" style="2" customWidth="1"/>
    <col min="9776" max="9776" width="8.5703125" style="2" customWidth="1"/>
    <col min="9777" max="9777" width="9.42578125" style="2" customWidth="1"/>
    <col min="9778" max="9779" width="7.42578125" style="2" customWidth="1"/>
    <col min="9780" max="9780" width="10" style="2" bestFit="1" customWidth="1"/>
    <col min="9781" max="9781" width="8.42578125" style="2" bestFit="1" customWidth="1"/>
    <col min="9782" max="9782" width="9" style="2" bestFit="1" customWidth="1"/>
    <col min="9783" max="9783" width="7.7109375" style="2" customWidth="1"/>
    <col min="9784" max="9785" width="8.85546875" style="2" customWidth="1"/>
    <col min="9786" max="9786" width="10" style="2" bestFit="1" customWidth="1"/>
    <col min="9787" max="9787" width="8.7109375" style="2" customWidth="1"/>
    <col min="9788" max="9788" width="10.28515625" style="2" bestFit="1" customWidth="1"/>
    <col min="9789" max="9789" width="7.42578125" style="2" bestFit="1" customWidth="1"/>
    <col min="9790" max="9790" width="8.7109375" style="2" bestFit="1" customWidth="1"/>
    <col min="9791" max="9791" width="6.140625" style="2" bestFit="1" customWidth="1"/>
    <col min="9792" max="9792" width="8" style="2" customWidth="1"/>
    <col min="9793" max="9793" width="9.140625" style="2" customWidth="1"/>
    <col min="9794" max="9794" width="12.140625" style="2" customWidth="1"/>
    <col min="9795" max="9795" width="8.28515625" style="2" bestFit="1" customWidth="1"/>
    <col min="9796" max="9796" width="9.85546875" style="2" bestFit="1" customWidth="1"/>
    <col min="9797" max="9797" width="7.42578125" style="2" bestFit="1" customWidth="1"/>
    <col min="9798" max="9798" width="11.140625" style="2" bestFit="1" customWidth="1"/>
    <col min="9799" max="9799" width="10.42578125" style="2" bestFit="1" customWidth="1"/>
    <col min="9800" max="10002" width="9.140625" style="2"/>
    <col min="10003" max="10003" width="7" style="2" customWidth="1"/>
    <col min="10004" max="10004" width="10" style="2" customWidth="1"/>
    <col min="10005" max="10005" width="7.7109375" style="2" customWidth="1"/>
    <col min="10006" max="10006" width="31.42578125" style="2" bestFit="1" customWidth="1"/>
    <col min="10007" max="10021" width="9.140625" style="2" customWidth="1"/>
    <col min="10022" max="10022" width="10.7109375" style="2" customWidth="1"/>
    <col min="10023" max="10023" width="8.7109375" style="2" bestFit="1" customWidth="1"/>
    <col min="10024" max="10024" width="8.28515625" style="2" bestFit="1" customWidth="1"/>
    <col min="10025" max="10025" width="8.140625" style="2" customWidth="1"/>
    <col min="10026" max="10026" width="9.140625" style="2" customWidth="1"/>
    <col min="10027" max="10027" width="8" style="2" customWidth="1"/>
    <col min="10028" max="10028" width="7.85546875" style="2" bestFit="1" customWidth="1"/>
    <col min="10029" max="10029" width="9.42578125" style="2" customWidth="1"/>
    <col min="10030" max="10030" width="11" style="2" customWidth="1"/>
    <col min="10031" max="10031" width="6.42578125" style="2" customWidth="1"/>
    <col min="10032" max="10032" width="8.5703125" style="2" customWidth="1"/>
    <col min="10033" max="10033" width="9.42578125" style="2" customWidth="1"/>
    <col min="10034" max="10035" width="7.42578125" style="2" customWidth="1"/>
    <col min="10036" max="10036" width="10" style="2" bestFit="1" customWidth="1"/>
    <col min="10037" max="10037" width="8.42578125" style="2" bestFit="1" customWidth="1"/>
    <col min="10038" max="10038" width="9" style="2" bestFit="1" customWidth="1"/>
    <col min="10039" max="10039" width="7.7109375" style="2" customWidth="1"/>
    <col min="10040" max="10041" width="8.85546875" style="2" customWidth="1"/>
    <col min="10042" max="10042" width="10" style="2" bestFit="1" customWidth="1"/>
    <col min="10043" max="10043" width="8.7109375" style="2" customWidth="1"/>
    <col min="10044" max="10044" width="10.28515625" style="2" bestFit="1" customWidth="1"/>
    <col min="10045" max="10045" width="7.42578125" style="2" bestFit="1" customWidth="1"/>
    <col min="10046" max="10046" width="8.7109375" style="2" bestFit="1" customWidth="1"/>
    <col min="10047" max="10047" width="6.140625" style="2" bestFit="1" customWidth="1"/>
    <col min="10048" max="10048" width="8" style="2" customWidth="1"/>
    <col min="10049" max="10049" width="9.140625" style="2" customWidth="1"/>
    <col min="10050" max="10050" width="12.140625" style="2" customWidth="1"/>
    <col min="10051" max="10051" width="8.28515625" style="2" bestFit="1" customWidth="1"/>
    <col min="10052" max="10052" width="9.85546875" style="2" bestFit="1" customWidth="1"/>
    <col min="10053" max="10053" width="7.42578125" style="2" bestFit="1" customWidth="1"/>
    <col min="10054" max="10054" width="11.140625" style="2" bestFit="1" customWidth="1"/>
    <col min="10055" max="10055" width="10.42578125" style="2" bestFit="1" customWidth="1"/>
    <col min="10056" max="10258" width="9.140625" style="2"/>
    <col min="10259" max="10259" width="7" style="2" customWidth="1"/>
    <col min="10260" max="10260" width="10" style="2" customWidth="1"/>
    <col min="10261" max="10261" width="7.7109375" style="2" customWidth="1"/>
    <col min="10262" max="10262" width="31.42578125" style="2" bestFit="1" customWidth="1"/>
    <col min="10263" max="10277" width="9.140625" style="2" customWidth="1"/>
    <col min="10278" max="10278" width="10.7109375" style="2" customWidth="1"/>
    <col min="10279" max="10279" width="8.7109375" style="2" bestFit="1" customWidth="1"/>
    <col min="10280" max="10280" width="8.28515625" style="2" bestFit="1" customWidth="1"/>
    <col min="10281" max="10281" width="8.140625" style="2" customWidth="1"/>
    <col min="10282" max="10282" width="9.140625" style="2" customWidth="1"/>
    <col min="10283" max="10283" width="8" style="2" customWidth="1"/>
    <col min="10284" max="10284" width="7.85546875" style="2" bestFit="1" customWidth="1"/>
    <col min="10285" max="10285" width="9.42578125" style="2" customWidth="1"/>
    <col min="10286" max="10286" width="11" style="2" customWidth="1"/>
    <col min="10287" max="10287" width="6.42578125" style="2" customWidth="1"/>
    <col min="10288" max="10288" width="8.5703125" style="2" customWidth="1"/>
    <col min="10289" max="10289" width="9.42578125" style="2" customWidth="1"/>
    <col min="10290" max="10291" width="7.42578125" style="2" customWidth="1"/>
    <col min="10292" max="10292" width="10" style="2" bestFit="1" customWidth="1"/>
    <col min="10293" max="10293" width="8.42578125" style="2" bestFit="1" customWidth="1"/>
    <col min="10294" max="10294" width="9" style="2" bestFit="1" customWidth="1"/>
    <col min="10295" max="10295" width="7.7109375" style="2" customWidth="1"/>
    <col min="10296" max="10297" width="8.85546875" style="2" customWidth="1"/>
    <col min="10298" max="10298" width="10" style="2" bestFit="1" customWidth="1"/>
    <col min="10299" max="10299" width="8.7109375" style="2" customWidth="1"/>
    <col min="10300" max="10300" width="10.28515625" style="2" bestFit="1" customWidth="1"/>
    <col min="10301" max="10301" width="7.42578125" style="2" bestFit="1" customWidth="1"/>
    <col min="10302" max="10302" width="8.7109375" style="2" bestFit="1" customWidth="1"/>
    <col min="10303" max="10303" width="6.140625" style="2" bestFit="1" customWidth="1"/>
    <col min="10304" max="10304" width="8" style="2" customWidth="1"/>
    <col min="10305" max="10305" width="9.140625" style="2" customWidth="1"/>
    <col min="10306" max="10306" width="12.140625" style="2" customWidth="1"/>
    <col min="10307" max="10307" width="8.28515625" style="2" bestFit="1" customWidth="1"/>
    <col min="10308" max="10308" width="9.85546875" style="2" bestFit="1" customWidth="1"/>
    <col min="10309" max="10309" width="7.42578125" style="2" bestFit="1" customWidth="1"/>
    <col min="10310" max="10310" width="11.140625" style="2" bestFit="1" customWidth="1"/>
    <col min="10311" max="10311" width="10.42578125" style="2" bestFit="1" customWidth="1"/>
    <col min="10312" max="10514" width="9.140625" style="2"/>
    <col min="10515" max="10515" width="7" style="2" customWidth="1"/>
    <col min="10516" max="10516" width="10" style="2" customWidth="1"/>
    <col min="10517" max="10517" width="7.7109375" style="2" customWidth="1"/>
    <col min="10518" max="10518" width="31.42578125" style="2" bestFit="1" customWidth="1"/>
    <col min="10519" max="10533" width="9.140625" style="2" customWidth="1"/>
    <col min="10534" max="10534" width="10.7109375" style="2" customWidth="1"/>
    <col min="10535" max="10535" width="8.7109375" style="2" bestFit="1" customWidth="1"/>
    <col min="10536" max="10536" width="8.28515625" style="2" bestFit="1" customWidth="1"/>
    <col min="10537" max="10537" width="8.140625" style="2" customWidth="1"/>
    <col min="10538" max="10538" width="9.140625" style="2" customWidth="1"/>
    <col min="10539" max="10539" width="8" style="2" customWidth="1"/>
    <col min="10540" max="10540" width="7.85546875" style="2" bestFit="1" customWidth="1"/>
    <col min="10541" max="10541" width="9.42578125" style="2" customWidth="1"/>
    <col min="10542" max="10542" width="11" style="2" customWidth="1"/>
    <col min="10543" max="10543" width="6.42578125" style="2" customWidth="1"/>
    <col min="10544" max="10544" width="8.5703125" style="2" customWidth="1"/>
    <col min="10545" max="10545" width="9.42578125" style="2" customWidth="1"/>
    <col min="10546" max="10547" width="7.42578125" style="2" customWidth="1"/>
    <col min="10548" max="10548" width="10" style="2" bestFit="1" customWidth="1"/>
    <col min="10549" max="10549" width="8.42578125" style="2" bestFit="1" customWidth="1"/>
    <col min="10550" max="10550" width="9" style="2" bestFit="1" customWidth="1"/>
    <col min="10551" max="10551" width="7.7109375" style="2" customWidth="1"/>
    <col min="10552" max="10553" width="8.85546875" style="2" customWidth="1"/>
    <col min="10554" max="10554" width="10" style="2" bestFit="1" customWidth="1"/>
    <col min="10555" max="10555" width="8.7109375" style="2" customWidth="1"/>
    <col min="10556" max="10556" width="10.28515625" style="2" bestFit="1" customWidth="1"/>
    <col min="10557" max="10557" width="7.42578125" style="2" bestFit="1" customWidth="1"/>
    <col min="10558" max="10558" width="8.7109375" style="2" bestFit="1" customWidth="1"/>
    <col min="10559" max="10559" width="6.140625" style="2" bestFit="1" customWidth="1"/>
    <col min="10560" max="10560" width="8" style="2" customWidth="1"/>
    <col min="10561" max="10561" width="9.140625" style="2" customWidth="1"/>
    <col min="10562" max="10562" width="12.140625" style="2" customWidth="1"/>
    <col min="10563" max="10563" width="8.28515625" style="2" bestFit="1" customWidth="1"/>
    <col min="10564" max="10564" width="9.85546875" style="2" bestFit="1" customWidth="1"/>
    <col min="10565" max="10565" width="7.42578125" style="2" bestFit="1" customWidth="1"/>
    <col min="10566" max="10566" width="11.140625" style="2" bestFit="1" customWidth="1"/>
    <col min="10567" max="10567" width="10.42578125" style="2" bestFit="1" customWidth="1"/>
    <col min="10568" max="10770" width="9.140625" style="2"/>
    <col min="10771" max="10771" width="7" style="2" customWidth="1"/>
    <col min="10772" max="10772" width="10" style="2" customWidth="1"/>
    <col min="10773" max="10773" width="7.7109375" style="2" customWidth="1"/>
    <col min="10774" max="10774" width="31.42578125" style="2" bestFit="1" customWidth="1"/>
    <col min="10775" max="10789" width="9.140625" style="2" customWidth="1"/>
    <col min="10790" max="10790" width="10.7109375" style="2" customWidth="1"/>
    <col min="10791" max="10791" width="8.7109375" style="2" bestFit="1" customWidth="1"/>
    <col min="10792" max="10792" width="8.28515625" style="2" bestFit="1" customWidth="1"/>
    <col min="10793" max="10793" width="8.140625" style="2" customWidth="1"/>
    <col min="10794" max="10794" width="9.140625" style="2" customWidth="1"/>
    <col min="10795" max="10795" width="8" style="2" customWidth="1"/>
    <col min="10796" max="10796" width="7.85546875" style="2" bestFit="1" customWidth="1"/>
    <col min="10797" max="10797" width="9.42578125" style="2" customWidth="1"/>
    <col min="10798" max="10798" width="11" style="2" customWidth="1"/>
    <col min="10799" max="10799" width="6.42578125" style="2" customWidth="1"/>
    <col min="10800" max="10800" width="8.5703125" style="2" customWidth="1"/>
    <col min="10801" max="10801" width="9.42578125" style="2" customWidth="1"/>
    <col min="10802" max="10803" width="7.42578125" style="2" customWidth="1"/>
    <col min="10804" max="10804" width="10" style="2" bestFit="1" customWidth="1"/>
    <col min="10805" max="10805" width="8.42578125" style="2" bestFit="1" customWidth="1"/>
    <col min="10806" max="10806" width="9" style="2" bestFit="1" customWidth="1"/>
    <col min="10807" max="10807" width="7.7109375" style="2" customWidth="1"/>
    <col min="10808" max="10809" width="8.85546875" style="2" customWidth="1"/>
    <col min="10810" max="10810" width="10" style="2" bestFit="1" customWidth="1"/>
    <col min="10811" max="10811" width="8.7109375" style="2" customWidth="1"/>
    <col min="10812" max="10812" width="10.28515625" style="2" bestFit="1" customWidth="1"/>
    <col min="10813" max="10813" width="7.42578125" style="2" bestFit="1" customWidth="1"/>
    <col min="10814" max="10814" width="8.7109375" style="2" bestFit="1" customWidth="1"/>
    <col min="10815" max="10815" width="6.140625" style="2" bestFit="1" customWidth="1"/>
    <col min="10816" max="10816" width="8" style="2" customWidth="1"/>
    <col min="10817" max="10817" width="9.140625" style="2" customWidth="1"/>
    <col min="10818" max="10818" width="12.140625" style="2" customWidth="1"/>
    <col min="10819" max="10819" width="8.28515625" style="2" bestFit="1" customWidth="1"/>
    <col min="10820" max="10820" width="9.85546875" style="2" bestFit="1" customWidth="1"/>
    <col min="10821" max="10821" width="7.42578125" style="2" bestFit="1" customWidth="1"/>
    <col min="10822" max="10822" width="11.140625" style="2" bestFit="1" customWidth="1"/>
    <col min="10823" max="10823" width="10.42578125" style="2" bestFit="1" customWidth="1"/>
    <col min="10824" max="11026" width="9.140625" style="2"/>
    <col min="11027" max="11027" width="7" style="2" customWidth="1"/>
    <col min="11028" max="11028" width="10" style="2" customWidth="1"/>
    <col min="11029" max="11029" width="7.7109375" style="2" customWidth="1"/>
    <col min="11030" max="11030" width="31.42578125" style="2" bestFit="1" customWidth="1"/>
    <col min="11031" max="11045" width="9.140625" style="2" customWidth="1"/>
    <col min="11046" max="11046" width="10.7109375" style="2" customWidth="1"/>
    <col min="11047" max="11047" width="8.7109375" style="2" bestFit="1" customWidth="1"/>
    <col min="11048" max="11048" width="8.28515625" style="2" bestFit="1" customWidth="1"/>
    <col min="11049" max="11049" width="8.140625" style="2" customWidth="1"/>
    <col min="11050" max="11050" width="9.140625" style="2" customWidth="1"/>
    <col min="11051" max="11051" width="8" style="2" customWidth="1"/>
    <col min="11052" max="11052" width="7.85546875" style="2" bestFit="1" customWidth="1"/>
    <col min="11053" max="11053" width="9.42578125" style="2" customWidth="1"/>
    <col min="11054" max="11054" width="11" style="2" customWidth="1"/>
    <col min="11055" max="11055" width="6.42578125" style="2" customWidth="1"/>
    <col min="11056" max="11056" width="8.5703125" style="2" customWidth="1"/>
    <col min="11057" max="11057" width="9.42578125" style="2" customWidth="1"/>
    <col min="11058" max="11059" width="7.42578125" style="2" customWidth="1"/>
    <col min="11060" max="11060" width="10" style="2" bestFit="1" customWidth="1"/>
    <col min="11061" max="11061" width="8.42578125" style="2" bestFit="1" customWidth="1"/>
    <col min="11062" max="11062" width="9" style="2" bestFit="1" customWidth="1"/>
    <col min="11063" max="11063" width="7.7109375" style="2" customWidth="1"/>
    <col min="11064" max="11065" width="8.85546875" style="2" customWidth="1"/>
    <col min="11066" max="11066" width="10" style="2" bestFit="1" customWidth="1"/>
    <col min="11067" max="11067" width="8.7109375" style="2" customWidth="1"/>
    <col min="11068" max="11068" width="10.28515625" style="2" bestFit="1" customWidth="1"/>
    <col min="11069" max="11069" width="7.42578125" style="2" bestFit="1" customWidth="1"/>
    <col min="11070" max="11070" width="8.7109375" style="2" bestFit="1" customWidth="1"/>
    <col min="11071" max="11071" width="6.140625" style="2" bestFit="1" customWidth="1"/>
    <col min="11072" max="11072" width="8" style="2" customWidth="1"/>
    <col min="11073" max="11073" width="9.140625" style="2" customWidth="1"/>
    <col min="11074" max="11074" width="12.140625" style="2" customWidth="1"/>
    <col min="11075" max="11075" width="8.28515625" style="2" bestFit="1" customWidth="1"/>
    <col min="11076" max="11076" width="9.85546875" style="2" bestFit="1" customWidth="1"/>
    <col min="11077" max="11077" width="7.42578125" style="2" bestFit="1" customWidth="1"/>
    <col min="11078" max="11078" width="11.140625" style="2" bestFit="1" customWidth="1"/>
    <col min="11079" max="11079" width="10.42578125" style="2" bestFit="1" customWidth="1"/>
    <col min="11080" max="11282" width="9.140625" style="2"/>
    <col min="11283" max="11283" width="7" style="2" customWidth="1"/>
    <col min="11284" max="11284" width="10" style="2" customWidth="1"/>
    <col min="11285" max="11285" width="7.7109375" style="2" customWidth="1"/>
    <col min="11286" max="11286" width="31.42578125" style="2" bestFit="1" customWidth="1"/>
    <col min="11287" max="11301" width="9.140625" style="2" customWidth="1"/>
    <col min="11302" max="11302" width="10.7109375" style="2" customWidth="1"/>
    <col min="11303" max="11303" width="8.7109375" style="2" bestFit="1" customWidth="1"/>
    <col min="11304" max="11304" width="8.28515625" style="2" bestFit="1" customWidth="1"/>
    <col min="11305" max="11305" width="8.140625" style="2" customWidth="1"/>
    <col min="11306" max="11306" width="9.140625" style="2" customWidth="1"/>
    <col min="11307" max="11307" width="8" style="2" customWidth="1"/>
    <col min="11308" max="11308" width="7.85546875" style="2" bestFit="1" customWidth="1"/>
    <col min="11309" max="11309" width="9.42578125" style="2" customWidth="1"/>
    <col min="11310" max="11310" width="11" style="2" customWidth="1"/>
    <col min="11311" max="11311" width="6.42578125" style="2" customWidth="1"/>
    <col min="11312" max="11312" width="8.5703125" style="2" customWidth="1"/>
    <col min="11313" max="11313" width="9.42578125" style="2" customWidth="1"/>
    <col min="11314" max="11315" width="7.42578125" style="2" customWidth="1"/>
    <col min="11316" max="11316" width="10" style="2" bestFit="1" customWidth="1"/>
    <col min="11317" max="11317" width="8.42578125" style="2" bestFit="1" customWidth="1"/>
    <col min="11318" max="11318" width="9" style="2" bestFit="1" customWidth="1"/>
    <col min="11319" max="11319" width="7.7109375" style="2" customWidth="1"/>
    <col min="11320" max="11321" width="8.85546875" style="2" customWidth="1"/>
    <col min="11322" max="11322" width="10" style="2" bestFit="1" customWidth="1"/>
    <col min="11323" max="11323" width="8.7109375" style="2" customWidth="1"/>
    <col min="11324" max="11324" width="10.28515625" style="2" bestFit="1" customWidth="1"/>
    <col min="11325" max="11325" width="7.42578125" style="2" bestFit="1" customWidth="1"/>
    <col min="11326" max="11326" width="8.7109375" style="2" bestFit="1" customWidth="1"/>
    <col min="11327" max="11327" width="6.140625" style="2" bestFit="1" customWidth="1"/>
    <col min="11328" max="11328" width="8" style="2" customWidth="1"/>
    <col min="11329" max="11329" width="9.140625" style="2" customWidth="1"/>
    <col min="11330" max="11330" width="12.140625" style="2" customWidth="1"/>
    <col min="11331" max="11331" width="8.28515625" style="2" bestFit="1" customWidth="1"/>
    <col min="11332" max="11332" width="9.85546875" style="2" bestFit="1" customWidth="1"/>
    <col min="11333" max="11333" width="7.42578125" style="2" bestFit="1" customWidth="1"/>
    <col min="11334" max="11334" width="11.140625" style="2" bestFit="1" customWidth="1"/>
    <col min="11335" max="11335" width="10.42578125" style="2" bestFit="1" customWidth="1"/>
    <col min="11336" max="11538" width="9.140625" style="2"/>
    <col min="11539" max="11539" width="7" style="2" customWidth="1"/>
    <col min="11540" max="11540" width="10" style="2" customWidth="1"/>
    <col min="11541" max="11541" width="7.7109375" style="2" customWidth="1"/>
    <col min="11542" max="11542" width="31.42578125" style="2" bestFit="1" customWidth="1"/>
    <col min="11543" max="11557" width="9.140625" style="2" customWidth="1"/>
    <col min="11558" max="11558" width="10.7109375" style="2" customWidth="1"/>
    <col min="11559" max="11559" width="8.7109375" style="2" bestFit="1" customWidth="1"/>
    <col min="11560" max="11560" width="8.28515625" style="2" bestFit="1" customWidth="1"/>
    <col min="11561" max="11561" width="8.140625" style="2" customWidth="1"/>
    <col min="11562" max="11562" width="9.140625" style="2" customWidth="1"/>
    <col min="11563" max="11563" width="8" style="2" customWidth="1"/>
    <col min="11564" max="11564" width="7.85546875" style="2" bestFit="1" customWidth="1"/>
    <col min="11565" max="11565" width="9.42578125" style="2" customWidth="1"/>
    <col min="11566" max="11566" width="11" style="2" customWidth="1"/>
    <col min="11567" max="11567" width="6.42578125" style="2" customWidth="1"/>
    <col min="11568" max="11568" width="8.5703125" style="2" customWidth="1"/>
    <col min="11569" max="11569" width="9.42578125" style="2" customWidth="1"/>
    <col min="11570" max="11571" width="7.42578125" style="2" customWidth="1"/>
    <col min="11572" max="11572" width="10" style="2" bestFit="1" customWidth="1"/>
    <col min="11573" max="11573" width="8.42578125" style="2" bestFit="1" customWidth="1"/>
    <col min="11574" max="11574" width="9" style="2" bestFit="1" customWidth="1"/>
    <col min="11575" max="11575" width="7.7109375" style="2" customWidth="1"/>
    <col min="11576" max="11577" width="8.85546875" style="2" customWidth="1"/>
    <col min="11578" max="11578" width="10" style="2" bestFit="1" customWidth="1"/>
    <col min="11579" max="11579" width="8.7109375" style="2" customWidth="1"/>
    <col min="11580" max="11580" width="10.28515625" style="2" bestFit="1" customWidth="1"/>
    <col min="11581" max="11581" width="7.42578125" style="2" bestFit="1" customWidth="1"/>
    <col min="11582" max="11582" width="8.7109375" style="2" bestFit="1" customWidth="1"/>
    <col min="11583" max="11583" width="6.140625" style="2" bestFit="1" customWidth="1"/>
    <col min="11584" max="11584" width="8" style="2" customWidth="1"/>
    <col min="11585" max="11585" width="9.140625" style="2" customWidth="1"/>
    <col min="11586" max="11586" width="12.140625" style="2" customWidth="1"/>
    <col min="11587" max="11587" width="8.28515625" style="2" bestFit="1" customWidth="1"/>
    <col min="11588" max="11588" width="9.85546875" style="2" bestFit="1" customWidth="1"/>
    <col min="11589" max="11589" width="7.42578125" style="2" bestFit="1" customWidth="1"/>
    <col min="11590" max="11590" width="11.140625" style="2" bestFit="1" customWidth="1"/>
    <col min="11591" max="11591" width="10.42578125" style="2" bestFit="1" customWidth="1"/>
    <col min="11592" max="11794" width="9.140625" style="2"/>
    <col min="11795" max="11795" width="7" style="2" customWidth="1"/>
    <col min="11796" max="11796" width="10" style="2" customWidth="1"/>
    <col min="11797" max="11797" width="7.7109375" style="2" customWidth="1"/>
    <col min="11798" max="11798" width="31.42578125" style="2" bestFit="1" customWidth="1"/>
    <col min="11799" max="11813" width="9.140625" style="2" customWidth="1"/>
    <col min="11814" max="11814" width="10.7109375" style="2" customWidth="1"/>
    <col min="11815" max="11815" width="8.7109375" style="2" bestFit="1" customWidth="1"/>
    <col min="11816" max="11816" width="8.28515625" style="2" bestFit="1" customWidth="1"/>
    <col min="11817" max="11817" width="8.140625" style="2" customWidth="1"/>
    <col min="11818" max="11818" width="9.140625" style="2" customWidth="1"/>
    <col min="11819" max="11819" width="8" style="2" customWidth="1"/>
    <col min="11820" max="11820" width="7.85546875" style="2" bestFit="1" customWidth="1"/>
    <col min="11821" max="11821" width="9.42578125" style="2" customWidth="1"/>
    <col min="11822" max="11822" width="11" style="2" customWidth="1"/>
    <col min="11823" max="11823" width="6.42578125" style="2" customWidth="1"/>
    <col min="11824" max="11824" width="8.5703125" style="2" customWidth="1"/>
    <col min="11825" max="11825" width="9.42578125" style="2" customWidth="1"/>
    <col min="11826" max="11827" width="7.42578125" style="2" customWidth="1"/>
    <col min="11828" max="11828" width="10" style="2" bestFit="1" customWidth="1"/>
    <col min="11829" max="11829" width="8.42578125" style="2" bestFit="1" customWidth="1"/>
    <col min="11830" max="11830" width="9" style="2" bestFit="1" customWidth="1"/>
    <col min="11831" max="11831" width="7.7109375" style="2" customWidth="1"/>
    <col min="11832" max="11833" width="8.85546875" style="2" customWidth="1"/>
    <col min="11834" max="11834" width="10" style="2" bestFit="1" customWidth="1"/>
    <col min="11835" max="11835" width="8.7109375" style="2" customWidth="1"/>
    <col min="11836" max="11836" width="10.28515625" style="2" bestFit="1" customWidth="1"/>
    <col min="11837" max="11837" width="7.42578125" style="2" bestFit="1" customWidth="1"/>
    <col min="11838" max="11838" width="8.7109375" style="2" bestFit="1" customWidth="1"/>
    <col min="11839" max="11839" width="6.140625" style="2" bestFit="1" customWidth="1"/>
    <col min="11840" max="11840" width="8" style="2" customWidth="1"/>
    <col min="11841" max="11841" width="9.140625" style="2" customWidth="1"/>
    <col min="11842" max="11842" width="12.140625" style="2" customWidth="1"/>
    <col min="11843" max="11843" width="8.28515625" style="2" bestFit="1" customWidth="1"/>
    <col min="11844" max="11844" width="9.85546875" style="2" bestFit="1" customWidth="1"/>
    <col min="11845" max="11845" width="7.42578125" style="2" bestFit="1" customWidth="1"/>
    <col min="11846" max="11846" width="11.140625" style="2" bestFit="1" customWidth="1"/>
    <col min="11847" max="11847" width="10.42578125" style="2" bestFit="1" customWidth="1"/>
    <col min="11848" max="12050" width="9.140625" style="2"/>
    <col min="12051" max="12051" width="7" style="2" customWidth="1"/>
    <col min="12052" max="12052" width="10" style="2" customWidth="1"/>
    <col min="12053" max="12053" width="7.7109375" style="2" customWidth="1"/>
    <col min="12054" max="12054" width="31.42578125" style="2" bestFit="1" customWidth="1"/>
    <col min="12055" max="12069" width="9.140625" style="2" customWidth="1"/>
    <col min="12070" max="12070" width="10.7109375" style="2" customWidth="1"/>
    <col min="12071" max="12071" width="8.7109375" style="2" bestFit="1" customWidth="1"/>
    <col min="12072" max="12072" width="8.28515625" style="2" bestFit="1" customWidth="1"/>
    <col min="12073" max="12073" width="8.140625" style="2" customWidth="1"/>
    <col min="12074" max="12074" width="9.140625" style="2" customWidth="1"/>
    <col min="12075" max="12075" width="8" style="2" customWidth="1"/>
    <col min="12076" max="12076" width="7.85546875" style="2" bestFit="1" customWidth="1"/>
    <col min="12077" max="12077" width="9.42578125" style="2" customWidth="1"/>
    <col min="12078" max="12078" width="11" style="2" customWidth="1"/>
    <col min="12079" max="12079" width="6.42578125" style="2" customWidth="1"/>
    <col min="12080" max="12080" width="8.5703125" style="2" customWidth="1"/>
    <col min="12081" max="12081" width="9.42578125" style="2" customWidth="1"/>
    <col min="12082" max="12083" width="7.42578125" style="2" customWidth="1"/>
    <col min="12084" max="12084" width="10" style="2" bestFit="1" customWidth="1"/>
    <col min="12085" max="12085" width="8.42578125" style="2" bestFit="1" customWidth="1"/>
    <col min="12086" max="12086" width="9" style="2" bestFit="1" customWidth="1"/>
    <col min="12087" max="12087" width="7.7109375" style="2" customWidth="1"/>
    <col min="12088" max="12089" width="8.85546875" style="2" customWidth="1"/>
    <col min="12090" max="12090" width="10" style="2" bestFit="1" customWidth="1"/>
    <col min="12091" max="12091" width="8.7109375" style="2" customWidth="1"/>
    <col min="12092" max="12092" width="10.28515625" style="2" bestFit="1" customWidth="1"/>
    <col min="12093" max="12093" width="7.42578125" style="2" bestFit="1" customWidth="1"/>
    <col min="12094" max="12094" width="8.7109375" style="2" bestFit="1" customWidth="1"/>
    <col min="12095" max="12095" width="6.140625" style="2" bestFit="1" customWidth="1"/>
    <col min="12096" max="12096" width="8" style="2" customWidth="1"/>
    <col min="12097" max="12097" width="9.140625" style="2" customWidth="1"/>
    <col min="12098" max="12098" width="12.140625" style="2" customWidth="1"/>
    <col min="12099" max="12099" width="8.28515625" style="2" bestFit="1" customWidth="1"/>
    <col min="12100" max="12100" width="9.85546875" style="2" bestFit="1" customWidth="1"/>
    <col min="12101" max="12101" width="7.42578125" style="2" bestFit="1" customWidth="1"/>
    <col min="12102" max="12102" width="11.140625" style="2" bestFit="1" customWidth="1"/>
    <col min="12103" max="12103" width="10.42578125" style="2" bestFit="1" customWidth="1"/>
    <col min="12104" max="12306" width="9.140625" style="2"/>
    <col min="12307" max="12307" width="7" style="2" customWidth="1"/>
    <col min="12308" max="12308" width="10" style="2" customWidth="1"/>
    <col min="12309" max="12309" width="7.7109375" style="2" customWidth="1"/>
    <col min="12310" max="12310" width="31.42578125" style="2" bestFit="1" customWidth="1"/>
    <col min="12311" max="12325" width="9.140625" style="2" customWidth="1"/>
    <col min="12326" max="12326" width="10.7109375" style="2" customWidth="1"/>
    <col min="12327" max="12327" width="8.7109375" style="2" bestFit="1" customWidth="1"/>
    <col min="12328" max="12328" width="8.28515625" style="2" bestFit="1" customWidth="1"/>
    <col min="12329" max="12329" width="8.140625" style="2" customWidth="1"/>
    <col min="12330" max="12330" width="9.140625" style="2" customWidth="1"/>
    <col min="12331" max="12331" width="8" style="2" customWidth="1"/>
    <col min="12332" max="12332" width="7.85546875" style="2" bestFit="1" customWidth="1"/>
    <col min="12333" max="12333" width="9.42578125" style="2" customWidth="1"/>
    <col min="12334" max="12334" width="11" style="2" customWidth="1"/>
    <col min="12335" max="12335" width="6.42578125" style="2" customWidth="1"/>
    <col min="12336" max="12336" width="8.5703125" style="2" customWidth="1"/>
    <col min="12337" max="12337" width="9.42578125" style="2" customWidth="1"/>
    <col min="12338" max="12339" width="7.42578125" style="2" customWidth="1"/>
    <col min="12340" max="12340" width="10" style="2" bestFit="1" customWidth="1"/>
    <col min="12341" max="12341" width="8.42578125" style="2" bestFit="1" customWidth="1"/>
    <col min="12342" max="12342" width="9" style="2" bestFit="1" customWidth="1"/>
    <col min="12343" max="12343" width="7.7109375" style="2" customWidth="1"/>
    <col min="12344" max="12345" width="8.85546875" style="2" customWidth="1"/>
    <col min="12346" max="12346" width="10" style="2" bestFit="1" customWidth="1"/>
    <col min="12347" max="12347" width="8.7109375" style="2" customWidth="1"/>
    <col min="12348" max="12348" width="10.28515625" style="2" bestFit="1" customWidth="1"/>
    <col min="12349" max="12349" width="7.42578125" style="2" bestFit="1" customWidth="1"/>
    <col min="12350" max="12350" width="8.7109375" style="2" bestFit="1" customWidth="1"/>
    <col min="12351" max="12351" width="6.140625" style="2" bestFit="1" customWidth="1"/>
    <col min="12352" max="12352" width="8" style="2" customWidth="1"/>
    <col min="12353" max="12353" width="9.140625" style="2" customWidth="1"/>
    <col min="12354" max="12354" width="12.140625" style="2" customWidth="1"/>
    <col min="12355" max="12355" width="8.28515625" style="2" bestFit="1" customWidth="1"/>
    <col min="12356" max="12356" width="9.85546875" style="2" bestFit="1" customWidth="1"/>
    <col min="12357" max="12357" width="7.42578125" style="2" bestFit="1" customWidth="1"/>
    <col min="12358" max="12358" width="11.140625" style="2" bestFit="1" customWidth="1"/>
    <col min="12359" max="12359" width="10.42578125" style="2" bestFit="1" customWidth="1"/>
    <col min="12360" max="12562" width="9.140625" style="2"/>
    <col min="12563" max="12563" width="7" style="2" customWidth="1"/>
    <col min="12564" max="12564" width="10" style="2" customWidth="1"/>
    <col min="12565" max="12565" width="7.7109375" style="2" customWidth="1"/>
    <col min="12566" max="12566" width="31.42578125" style="2" bestFit="1" customWidth="1"/>
    <col min="12567" max="12581" width="9.140625" style="2" customWidth="1"/>
    <col min="12582" max="12582" width="10.7109375" style="2" customWidth="1"/>
    <col min="12583" max="12583" width="8.7109375" style="2" bestFit="1" customWidth="1"/>
    <col min="12584" max="12584" width="8.28515625" style="2" bestFit="1" customWidth="1"/>
    <col min="12585" max="12585" width="8.140625" style="2" customWidth="1"/>
    <col min="12586" max="12586" width="9.140625" style="2" customWidth="1"/>
    <col min="12587" max="12587" width="8" style="2" customWidth="1"/>
    <col min="12588" max="12588" width="7.85546875" style="2" bestFit="1" customWidth="1"/>
    <col min="12589" max="12589" width="9.42578125" style="2" customWidth="1"/>
    <col min="12590" max="12590" width="11" style="2" customWidth="1"/>
    <col min="12591" max="12591" width="6.42578125" style="2" customWidth="1"/>
    <col min="12592" max="12592" width="8.5703125" style="2" customWidth="1"/>
    <col min="12593" max="12593" width="9.42578125" style="2" customWidth="1"/>
    <col min="12594" max="12595" width="7.42578125" style="2" customWidth="1"/>
    <col min="12596" max="12596" width="10" style="2" bestFit="1" customWidth="1"/>
    <col min="12597" max="12597" width="8.42578125" style="2" bestFit="1" customWidth="1"/>
    <col min="12598" max="12598" width="9" style="2" bestFit="1" customWidth="1"/>
    <col min="12599" max="12599" width="7.7109375" style="2" customWidth="1"/>
    <col min="12600" max="12601" width="8.85546875" style="2" customWidth="1"/>
    <col min="12602" max="12602" width="10" style="2" bestFit="1" customWidth="1"/>
    <col min="12603" max="12603" width="8.7109375" style="2" customWidth="1"/>
    <col min="12604" max="12604" width="10.28515625" style="2" bestFit="1" customWidth="1"/>
    <col min="12605" max="12605" width="7.42578125" style="2" bestFit="1" customWidth="1"/>
    <col min="12606" max="12606" width="8.7109375" style="2" bestFit="1" customWidth="1"/>
    <col min="12607" max="12607" width="6.140625" style="2" bestFit="1" customWidth="1"/>
    <col min="12608" max="12608" width="8" style="2" customWidth="1"/>
    <col min="12609" max="12609" width="9.140625" style="2" customWidth="1"/>
    <col min="12610" max="12610" width="12.140625" style="2" customWidth="1"/>
    <col min="12611" max="12611" width="8.28515625" style="2" bestFit="1" customWidth="1"/>
    <col min="12612" max="12612" width="9.85546875" style="2" bestFit="1" customWidth="1"/>
    <col min="12613" max="12613" width="7.42578125" style="2" bestFit="1" customWidth="1"/>
    <col min="12614" max="12614" width="11.140625" style="2" bestFit="1" customWidth="1"/>
    <col min="12615" max="12615" width="10.42578125" style="2" bestFit="1" customWidth="1"/>
    <col min="12616" max="12818" width="9.140625" style="2"/>
    <col min="12819" max="12819" width="7" style="2" customWidth="1"/>
    <col min="12820" max="12820" width="10" style="2" customWidth="1"/>
    <col min="12821" max="12821" width="7.7109375" style="2" customWidth="1"/>
    <col min="12822" max="12822" width="31.42578125" style="2" bestFit="1" customWidth="1"/>
    <col min="12823" max="12837" width="9.140625" style="2" customWidth="1"/>
    <col min="12838" max="12838" width="10.7109375" style="2" customWidth="1"/>
    <col min="12839" max="12839" width="8.7109375" style="2" bestFit="1" customWidth="1"/>
    <col min="12840" max="12840" width="8.28515625" style="2" bestFit="1" customWidth="1"/>
    <col min="12841" max="12841" width="8.140625" style="2" customWidth="1"/>
    <col min="12842" max="12842" width="9.140625" style="2" customWidth="1"/>
    <col min="12843" max="12843" width="8" style="2" customWidth="1"/>
    <col min="12844" max="12844" width="7.85546875" style="2" bestFit="1" customWidth="1"/>
    <col min="12845" max="12845" width="9.42578125" style="2" customWidth="1"/>
    <col min="12846" max="12846" width="11" style="2" customWidth="1"/>
    <col min="12847" max="12847" width="6.42578125" style="2" customWidth="1"/>
    <col min="12848" max="12848" width="8.5703125" style="2" customWidth="1"/>
    <col min="12849" max="12849" width="9.42578125" style="2" customWidth="1"/>
    <col min="12850" max="12851" width="7.42578125" style="2" customWidth="1"/>
    <col min="12852" max="12852" width="10" style="2" bestFit="1" customWidth="1"/>
    <col min="12853" max="12853" width="8.42578125" style="2" bestFit="1" customWidth="1"/>
    <col min="12854" max="12854" width="9" style="2" bestFit="1" customWidth="1"/>
    <col min="12855" max="12855" width="7.7109375" style="2" customWidth="1"/>
    <col min="12856" max="12857" width="8.85546875" style="2" customWidth="1"/>
    <col min="12858" max="12858" width="10" style="2" bestFit="1" customWidth="1"/>
    <col min="12859" max="12859" width="8.7109375" style="2" customWidth="1"/>
    <col min="12860" max="12860" width="10.28515625" style="2" bestFit="1" customWidth="1"/>
    <col min="12861" max="12861" width="7.42578125" style="2" bestFit="1" customWidth="1"/>
    <col min="12862" max="12862" width="8.7109375" style="2" bestFit="1" customWidth="1"/>
    <col min="12863" max="12863" width="6.140625" style="2" bestFit="1" customWidth="1"/>
    <col min="12864" max="12864" width="8" style="2" customWidth="1"/>
    <col min="12865" max="12865" width="9.140625" style="2" customWidth="1"/>
    <col min="12866" max="12866" width="12.140625" style="2" customWidth="1"/>
    <col min="12867" max="12867" width="8.28515625" style="2" bestFit="1" customWidth="1"/>
    <col min="12868" max="12868" width="9.85546875" style="2" bestFit="1" customWidth="1"/>
    <col min="12869" max="12869" width="7.42578125" style="2" bestFit="1" customWidth="1"/>
    <col min="12870" max="12870" width="11.140625" style="2" bestFit="1" customWidth="1"/>
    <col min="12871" max="12871" width="10.42578125" style="2" bestFit="1" customWidth="1"/>
    <col min="12872" max="13074" width="9.140625" style="2"/>
    <col min="13075" max="13075" width="7" style="2" customWidth="1"/>
    <col min="13076" max="13076" width="10" style="2" customWidth="1"/>
    <col min="13077" max="13077" width="7.7109375" style="2" customWidth="1"/>
    <col min="13078" max="13078" width="31.42578125" style="2" bestFit="1" customWidth="1"/>
    <col min="13079" max="13093" width="9.140625" style="2" customWidth="1"/>
    <col min="13094" max="13094" width="10.7109375" style="2" customWidth="1"/>
    <col min="13095" max="13095" width="8.7109375" style="2" bestFit="1" customWidth="1"/>
    <col min="13096" max="13096" width="8.28515625" style="2" bestFit="1" customWidth="1"/>
    <col min="13097" max="13097" width="8.140625" style="2" customWidth="1"/>
    <col min="13098" max="13098" width="9.140625" style="2" customWidth="1"/>
    <col min="13099" max="13099" width="8" style="2" customWidth="1"/>
    <col min="13100" max="13100" width="7.85546875" style="2" bestFit="1" customWidth="1"/>
    <col min="13101" max="13101" width="9.42578125" style="2" customWidth="1"/>
    <col min="13102" max="13102" width="11" style="2" customWidth="1"/>
    <col min="13103" max="13103" width="6.42578125" style="2" customWidth="1"/>
    <col min="13104" max="13104" width="8.5703125" style="2" customWidth="1"/>
    <col min="13105" max="13105" width="9.42578125" style="2" customWidth="1"/>
    <col min="13106" max="13107" width="7.42578125" style="2" customWidth="1"/>
    <col min="13108" max="13108" width="10" style="2" bestFit="1" customWidth="1"/>
    <col min="13109" max="13109" width="8.42578125" style="2" bestFit="1" customWidth="1"/>
    <col min="13110" max="13110" width="9" style="2" bestFit="1" customWidth="1"/>
    <col min="13111" max="13111" width="7.7109375" style="2" customWidth="1"/>
    <col min="13112" max="13113" width="8.85546875" style="2" customWidth="1"/>
    <col min="13114" max="13114" width="10" style="2" bestFit="1" customWidth="1"/>
    <col min="13115" max="13115" width="8.7109375" style="2" customWidth="1"/>
    <col min="13116" max="13116" width="10.28515625" style="2" bestFit="1" customWidth="1"/>
    <col min="13117" max="13117" width="7.42578125" style="2" bestFit="1" customWidth="1"/>
    <col min="13118" max="13118" width="8.7109375" style="2" bestFit="1" customWidth="1"/>
    <col min="13119" max="13119" width="6.140625" style="2" bestFit="1" customWidth="1"/>
    <col min="13120" max="13120" width="8" style="2" customWidth="1"/>
    <col min="13121" max="13121" width="9.140625" style="2" customWidth="1"/>
    <col min="13122" max="13122" width="12.140625" style="2" customWidth="1"/>
    <col min="13123" max="13123" width="8.28515625" style="2" bestFit="1" customWidth="1"/>
    <col min="13124" max="13124" width="9.85546875" style="2" bestFit="1" customWidth="1"/>
    <col min="13125" max="13125" width="7.42578125" style="2" bestFit="1" customWidth="1"/>
    <col min="13126" max="13126" width="11.140625" style="2" bestFit="1" customWidth="1"/>
    <col min="13127" max="13127" width="10.42578125" style="2" bestFit="1" customWidth="1"/>
    <col min="13128" max="13330" width="9.140625" style="2"/>
    <col min="13331" max="13331" width="7" style="2" customWidth="1"/>
    <col min="13332" max="13332" width="10" style="2" customWidth="1"/>
    <col min="13333" max="13333" width="7.7109375" style="2" customWidth="1"/>
    <col min="13334" max="13334" width="31.42578125" style="2" bestFit="1" customWidth="1"/>
    <col min="13335" max="13349" width="9.140625" style="2" customWidth="1"/>
    <col min="13350" max="13350" width="10.7109375" style="2" customWidth="1"/>
    <col min="13351" max="13351" width="8.7109375" style="2" bestFit="1" customWidth="1"/>
    <col min="13352" max="13352" width="8.28515625" style="2" bestFit="1" customWidth="1"/>
    <col min="13353" max="13353" width="8.140625" style="2" customWidth="1"/>
    <col min="13354" max="13354" width="9.140625" style="2" customWidth="1"/>
    <col min="13355" max="13355" width="8" style="2" customWidth="1"/>
    <col min="13356" max="13356" width="7.85546875" style="2" bestFit="1" customWidth="1"/>
    <col min="13357" max="13357" width="9.42578125" style="2" customWidth="1"/>
    <col min="13358" max="13358" width="11" style="2" customWidth="1"/>
    <col min="13359" max="13359" width="6.42578125" style="2" customWidth="1"/>
    <col min="13360" max="13360" width="8.5703125" style="2" customWidth="1"/>
    <col min="13361" max="13361" width="9.42578125" style="2" customWidth="1"/>
    <col min="13362" max="13363" width="7.42578125" style="2" customWidth="1"/>
    <col min="13364" max="13364" width="10" style="2" bestFit="1" customWidth="1"/>
    <col min="13365" max="13365" width="8.42578125" style="2" bestFit="1" customWidth="1"/>
    <col min="13366" max="13366" width="9" style="2" bestFit="1" customWidth="1"/>
    <col min="13367" max="13367" width="7.7109375" style="2" customWidth="1"/>
    <col min="13368" max="13369" width="8.85546875" style="2" customWidth="1"/>
    <col min="13370" max="13370" width="10" style="2" bestFit="1" customWidth="1"/>
    <col min="13371" max="13371" width="8.7109375" style="2" customWidth="1"/>
    <col min="13372" max="13372" width="10.28515625" style="2" bestFit="1" customWidth="1"/>
    <col min="13373" max="13373" width="7.42578125" style="2" bestFit="1" customWidth="1"/>
    <col min="13374" max="13374" width="8.7109375" style="2" bestFit="1" customWidth="1"/>
    <col min="13375" max="13375" width="6.140625" style="2" bestFit="1" customWidth="1"/>
    <col min="13376" max="13376" width="8" style="2" customWidth="1"/>
    <col min="13377" max="13377" width="9.140625" style="2" customWidth="1"/>
    <col min="13378" max="13378" width="12.140625" style="2" customWidth="1"/>
    <col min="13379" max="13379" width="8.28515625" style="2" bestFit="1" customWidth="1"/>
    <col min="13380" max="13380" width="9.85546875" style="2" bestFit="1" customWidth="1"/>
    <col min="13381" max="13381" width="7.42578125" style="2" bestFit="1" customWidth="1"/>
    <col min="13382" max="13382" width="11.140625" style="2" bestFit="1" customWidth="1"/>
    <col min="13383" max="13383" width="10.42578125" style="2" bestFit="1" customWidth="1"/>
    <col min="13384" max="13586" width="9.140625" style="2"/>
    <col min="13587" max="13587" width="7" style="2" customWidth="1"/>
    <col min="13588" max="13588" width="10" style="2" customWidth="1"/>
    <col min="13589" max="13589" width="7.7109375" style="2" customWidth="1"/>
    <col min="13590" max="13590" width="31.42578125" style="2" bestFit="1" customWidth="1"/>
    <col min="13591" max="13605" width="9.140625" style="2" customWidth="1"/>
    <col min="13606" max="13606" width="10.7109375" style="2" customWidth="1"/>
    <col min="13607" max="13607" width="8.7109375" style="2" bestFit="1" customWidth="1"/>
    <col min="13608" max="13608" width="8.28515625" style="2" bestFit="1" customWidth="1"/>
    <col min="13609" max="13609" width="8.140625" style="2" customWidth="1"/>
    <col min="13610" max="13610" width="9.140625" style="2" customWidth="1"/>
    <col min="13611" max="13611" width="8" style="2" customWidth="1"/>
    <col min="13612" max="13612" width="7.85546875" style="2" bestFit="1" customWidth="1"/>
    <col min="13613" max="13613" width="9.42578125" style="2" customWidth="1"/>
    <col min="13614" max="13614" width="11" style="2" customWidth="1"/>
    <col min="13615" max="13615" width="6.42578125" style="2" customWidth="1"/>
    <col min="13616" max="13616" width="8.5703125" style="2" customWidth="1"/>
    <col min="13617" max="13617" width="9.42578125" style="2" customWidth="1"/>
    <col min="13618" max="13619" width="7.42578125" style="2" customWidth="1"/>
    <col min="13620" max="13620" width="10" style="2" bestFit="1" customWidth="1"/>
    <col min="13621" max="13621" width="8.42578125" style="2" bestFit="1" customWidth="1"/>
    <col min="13622" max="13622" width="9" style="2" bestFit="1" customWidth="1"/>
    <col min="13623" max="13623" width="7.7109375" style="2" customWidth="1"/>
    <col min="13624" max="13625" width="8.85546875" style="2" customWidth="1"/>
    <col min="13626" max="13626" width="10" style="2" bestFit="1" customWidth="1"/>
    <col min="13627" max="13627" width="8.7109375" style="2" customWidth="1"/>
    <col min="13628" max="13628" width="10.28515625" style="2" bestFit="1" customWidth="1"/>
    <col min="13629" max="13629" width="7.42578125" style="2" bestFit="1" customWidth="1"/>
    <col min="13630" max="13630" width="8.7109375" style="2" bestFit="1" customWidth="1"/>
    <col min="13631" max="13631" width="6.140625" style="2" bestFit="1" customWidth="1"/>
    <col min="13632" max="13632" width="8" style="2" customWidth="1"/>
    <col min="13633" max="13633" width="9.140625" style="2" customWidth="1"/>
    <col min="13634" max="13634" width="12.140625" style="2" customWidth="1"/>
    <col min="13635" max="13635" width="8.28515625" style="2" bestFit="1" customWidth="1"/>
    <col min="13636" max="13636" width="9.85546875" style="2" bestFit="1" customWidth="1"/>
    <col min="13637" max="13637" width="7.42578125" style="2" bestFit="1" customWidth="1"/>
    <col min="13638" max="13638" width="11.140625" style="2" bestFit="1" customWidth="1"/>
    <col min="13639" max="13639" width="10.42578125" style="2" bestFit="1" customWidth="1"/>
    <col min="13640" max="13842" width="9.140625" style="2"/>
    <col min="13843" max="13843" width="7" style="2" customWidth="1"/>
    <col min="13844" max="13844" width="10" style="2" customWidth="1"/>
    <col min="13845" max="13845" width="7.7109375" style="2" customWidth="1"/>
    <col min="13846" max="13846" width="31.42578125" style="2" bestFit="1" customWidth="1"/>
    <col min="13847" max="13861" width="9.140625" style="2" customWidth="1"/>
    <col min="13862" max="13862" width="10.7109375" style="2" customWidth="1"/>
    <col min="13863" max="13863" width="8.7109375" style="2" bestFit="1" customWidth="1"/>
    <col min="13864" max="13864" width="8.28515625" style="2" bestFit="1" customWidth="1"/>
    <col min="13865" max="13865" width="8.140625" style="2" customWidth="1"/>
    <col min="13866" max="13866" width="9.140625" style="2" customWidth="1"/>
    <col min="13867" max="13867" width="8" style="2" customWidth="1"/>
    <col min="13868" max="13868" width="7.85546875" style="2" bestFit="1" customWidth="1"/>
    <col min="13869" max="13869" width="9.42578125" style="2" customWidth="1"/>
    <col min="13870" max="13870" width="11" style="2" customWidth="1"/>
    <col min="13871" max="13871" width="6.42578125" style="2" customWidth="1"/>
    <col min="13872" max="13872" width="8.5703125" style="2" customWidth="1"/>
    <col min="13873" max="13873" width="9.42578125" style="2" customWidth="1"/>
    <col min="13874" max="13875" width="7.42578125" style="2" customWidth="1"/>
    <col min="13876" max="13876" width="10" style="2" bestFit="1" customWidth="1"/>
    <col min="13877" max="13877" width="8.42578125" style="2" bestFit="1" customWidth="1"/>
    <col min="13878" max="13878" width="9" style="2" bestFit="1" customWidth="1"/>
    <col min="13879" max="13879" width="7.7109375" style="2" customWidth="1"/>
    <col min="13880" max="13881" width="8.85546875" style="2" customWidth="1"/>
    <col min="13882" max="13882" width="10" style="2" bestFit="1" customWidth="1"/>
    <col min="13883" max="13883" width="8.7109375" style="2" customWidth="1"/>
    <col min="13884" max="13884" width="10.28515625" style="2" bestFit="1" customWidth="1"/>
    <col min="13885" max="13885" width="7.42578125" style="2" bestFit="1" customWidth="1"/>
    <col min="13886" max="13886" width="8.7109375" style="2" bestFit="1" customWidth="1"/>
    <col min="13887" max="13887" width="6.140625" style="2" bestFit="1" customWidth="1"/>
    <col min="13888" max="13888" width="8" style="2" customWidth="1"/>
    <col min="13889" max="13889" width="9.140625" style="2" customWidth="1"/>
    <col min="13890" max="13890" width="12.140625" style="2" customWidth="1"/>
    <col min="13891" max="13891" width="8.28515625" style="2" bestFit="1" customWidth="1"/>
    <col min="13892" max="13892" width="9.85546875" style="2" bestFit="1" customWidth="1"/>
    <col min="13893" max="13893" width="7.42578125" style="2" bestFit="1" customWidth="1"/>
    <col min="13894" max="13894" width="11.140625" style="2" bestFit="1" customWidth="1"/>
    <col min="13895" max="13895" width="10.42578125" style="2" bestFit="1" customWidth="1"/>
    <col min="13896" max="14098" width="9.140625" style="2"/>
    <col min="14099" max="14099" width="7" style="2" customWidth="1"/>
    <col min="14100" max="14100" width="10" style="2" customWidth="1"/>
    <col min="14101" max="14101" width="7.7109375" style="2" customWidth="1"/>
    <col min="14102" max="14102" width="31.42578125" style="2" bestFit="1" customWidth="1"/>
    <col min="14103" max="14117" width="9.140625" style="2" customWidth="1"/>
    <col min="14118" max="14118" width="10.7109375" style="2" customWidth="1"/>
    <col min="14119" max="14119" width="8.7109375" style="2" bestFit="1" customWidth="1"/>
    <col min="14120" max="14120" width="8.28515625" style="2" bestFit="1" customWidth="1"/>
    <col min="14121" max="14121" width="8.140625" style="2" customWidth="1"/>
    <col min="14122" max="14122" width="9.140625" style="2" customWidth="1"/>
    <col min="14123" max="14123" width="8" style="2" customWidth="1"/>
    <col min="14124" max="14124" width="7.85546875" style="2" bestFit="1" customWidth="1"/>
    <col min="14125" max="14125" width="9.42578125" style="2" customWidth="1"/>
    <col min="14126" max="14126" width="11" style="2" customWidth="1"/>
    <col min="14127" max="14127" width="6.42578125" style="2" customWidth="1"/>
    <col min="14128" max="14128" width="8.5703125" style="2" customWidth="1"/>
    <col min="14129" max="14129" width="9.42578125" style="2" customWidth="1"/>
    <col min="14130" max="14131" width="7.42578125" style="2" customWidth="1"/>
    <col min="14132" max="14132" width="10" style="2" bestFit="1" customWidth="1"/>
    <col min="14133" max="14133" width="8.42578125" style="2" bestFit="1" customWidth="1"/>
    <col min="14134" max="14134" width="9" style="2" bestFit="1" customWidth="1"/>
    <col min="14135" max="14135" width="7.7109375" style="2" customWidth="1"/>
    <col min="14136" max="14137" width="8.85546875" style="2" customWidth="1"/>
    <col min="14138" max="14138" width="10" style="2" bestFit="1" customWidth="1"/>
    <col min="14139" max="14139" width="8.7109375" style="2" customWidth="1"/>
    <col min="14140" max="14140" width="10.28515625" style="2" bestFit="1" customWidth="1"/>
    <col min="14141" max="14141" width="7.42578125" style="2" bestFit="1" customWidth="1"/>
    <col min="14142" max="14142" width="8.7109375" style="2" bestFit="1" customWidth="1"/>
    <col min="14143" max="14143" width="6.140625" style="2" bestFit="1" customWidth="1"/>
    <col min="14144" max="14144" width="8" style="2" customWidth="1"/>
    <col min="14145" max="14145" width="9.140625" style="2" customWidth="1"/>
    <col min="14146" max="14146" width="12.140625" style="2" customWidth="1"/>
    <col min="14147" max="14147" width="8.28515625" style="2" bestFit="1" customWidth="1"/>
    <col min="14148" max="14148" width="9.85546875" style="2" bestFit="1" customWidth="1"/>
    <col min="14149" max="14149" width="7.42578125" style="2" bestFit="1" customWidth="1"/>
    <col min="14150" max="14150" width="11.140625" style="2" bestFit="1" customWidth="1"/>
    <col min="14151" max="14151" width="10.42578125" style="2" bestFit="1" customWidth="1"/>
    <col min="14152" max="14354" width="9.140625" style="2"/>
    <col min="14355" max="14355" width="7" style="2" customWidth="1"/>
    <col min="14356" max="14356" width="10" style="2" customWidth="1"/>
    <col min="14357" max="14357" width="7.7109375" style="2" customWidth="1"/>
    <col min="14358" max="14358" width="31.42578125" style="2" bestFit="1" customWidth="1"/>
    <col min="14359" max="14373" width="9.140625" style="2" customWidth="1"/>
    <col min="14374" max="14374" width="10.7109375" style="2" customWidth="1"/>
    <col min="14375" max="14375" width="8.7109375" style="2" bestFit="1" customWidth="1"/>
    <col min="14376" max="14376" width="8.28515625" style="2" bestFit="1" customWidth="1"/>
    <col min="14377" max="14377" width="8.140625" style="2" customWidth="1"/>
    <col min="14378" max="14378" width="9.140625" style="2" customWidth="1"/>
    <col min="14379" max="14379" width="8" style="2" customWidth="1"/>
    <col min="14380" max="14380" width="7.85546875" style="2" bestFit="1" customWidth="1"/>
    <col min="14381" max="14381" width="9.42578125" style="2" customWidth="1"/>
    <col min="14382" max="14382" width="11" style="2" customWidth="1"/>
    <col min="14383" max="14383" width="6.42578125" style="2" customWidth="1"/>
    <col min="14384" max="14384" width="8.5703125" style="2" customWidth="1"/>
    <col min="14385" max="14385" width="9.42578125" style="2" customWidth="1"/>
    <col min="14386" max="14387" width="7.42578125" style="2" customWidth="1"/>
    <col min="14388" max="14388" width="10" style="2" bestFit="1" customWidth="1"/>
    <col min="14389" max="14389" width="8.42578125" style="2" bestFit="1" customWidth="1"/>
    <col min="14390" max="14390" width="9" style="2" bestFit="1" customWidth="1"/>
    <col min="14391" max="14391" width="7.7109375" style="2" customWidth="1"/>
    <col min="14392" max="14393" width="8.85546875" style="2" customWidth="1"/>
    <col min="14394" max="14394" width="10" style="2" bestFit="1" customWidth="1"/>
    <col min="14395" max="14395" width="8.7109375" style="2" customWidth="1"/>
    <col min="14396" max="14396" width="10.28515625" style="2" bestFit="1" customWidth="1"/>
    <col min="14397" max="14397" width="7.42578125" style="2" bestFit="1" customWidth="1"/>
    <col min="14398" max="14398" width="8.7109375" style="2" bestFit="1" customWidth="1"/>
    <col min="14399" max="14399" width="6.140625" style="2" bestFit="1" customWidth="1"/>
    <col min="14400" max="14400" width="8" style="2" customWidth="1"/>
    <col min="14401" max="14401" width="9.140625" style="2" customWidth="1"/>
    <col min="14402" max="14402" width="12.140625" style="2" customWidth="1"/>
    <col min="14403" max="14403" width="8.28515625" style="2" bestFit="1" customWidth="1"/>
    <col min="14404" max="14404" width="9.85546875" style="2" bestFit="1" customWidth="1"/>
    <col min="14405" max="14405" width="7.42578125" style="2" bestFit="1" customWidth="1"/>
    <col min="14406" max="14406" width="11.140625" style="2" bestFit="1" customWidth="1"/>
    <col min="14407" max="14407" width="10.42578125" style="2" bestFit="1" customWidth="1"/>
    <col min="14408" max="14610" width="9.140625" style="2"/>
    <col min="14611" max="14611" width="7" style="2" customWidth="1"/>
    <col min="14612" max="14612" width="10" style="2" customWidth="1"/>
    <col min="14613" max="14613" width="7.7109375" style="2" customWidth="1"/>
    <col min="14614" max="14614" width="31.42578125" style="2" bestFit="1" customWidth="1"/>
    <col min="14615" max="14629" width="9.140625" style="2" customWidth="1"/>
    <col min="14630" max="14630" width="10.7109375" style="2" customWidth="1"/>
    <col min="14631" max="14631" width="8.7109375" style="2" bestFit="1" customWidth="1"/>
    <col min="14632" max="14632" width="8.28515625" style="2" bestFit="1" customWidth="1"/>
    <col min="14633" max="14633" width="8.140625" style="2" customWidth="1"/>
    <col min="14634" max="14634" width="9.140625" style="2" customWidth="1"/>
    <col min="14635" max="14635" width="8" style="2" customWidth="1"/>
    <col min="14636" max="14636" width="7.85546875" style="2" bestFit="1" customWidth="1"/>
    <col min="14637" max="14637" width="9.42578125" style="2" customWidth="1"/>
    <col min="14638" max="14638" width="11" style="2" customWidth="1"/>
    <col min="14639" max="14639" width="6.42578125" style="2" customWidth="1"/>
    <col min="14640" max="14640" width="8.5703125" style="2" customWidth="1"/>
    <col min="14641" max="14641" width="9.42578125" style="2" customWidth="1"/>
    <col min="14642" max="14643" width="7.42578125" style="2" customWidth="1"/>
    <col min="14644" max="14644" width="10" style="2" bestFit="1" customWidth="1"/>
    <col min="14645" max="14645" width="8.42578125" style="2" bestFit="1" customWidth="1"/>
    <col min="14646" max="14646" width="9" style="2" bestFit="1" customWidth="1"/>
    <col min="14647" max="14647" width="7.7109375" style="2" customWidth="1"/>
    <col min="14648" max="14649" width="8.85546875" style="2" customWidth="1"/>
    <col min="14650" max="14650" width="10" style="2" bestFit="1" customWidth="1"/>
    <col min="14651" max="14651" width="8.7109375" style="2" customWidth="1"/>
    <col min="14652" max="14652" width="10.28515625" style="2" bestFit="1" customWidth="1"/>
    <col min="14653" max="14653" width="7.42578125" style="2" bestFit="1" customWidth="1"/>
    <col min="14654" max="14654" width="8.7109375" style="2" bestFit="1" customWidth="1"/>
    <col min="14655" max="14655" width="6.140625" style="2" bestFit="1" customWidth="1"/>
    <col min="14656" max="14656" width="8" style="2" customWidth="1"/>
    <col min="14657" max="14657" width="9.140625" style="2" customWidth="1"/>
    <col min="14658" max="14658" width="12.140625" style="2" customWidth="1"/>
    <col min="14659" max="14659" width="8.28515625" style="2" bestFit="1" customWidth="1"/>
    <col min="14660" max="14660" width="9.85546875" style="2" bestFit="1" customWidth="1"/>
    <col min="14661" max="14661" width="7.42578125" style="2" bestFit="1" customWidth="1"/>
    <col min="14662" max="14662" width="11.140625" style="2" bestFit="1" customWidth="1"/>
    <col min="14663" max="14663" width="10.42578125" style="2" bestFit="1" customWidth="1"/>
    <col min="14664" max="14866" width="9.140625" style="2"/>
    <col min="14867" max="14867" width="7" style="2" customWidth="1"/>
    <col min="14868" max="14868" width="10" style="2" customWidth="1"/>
    <col min="14869" max="14869" width="7.7109375" style="2" customWidth="1"/>
    <col min="14870" max="14870" width="31.42578125" style="2" bestFit="1" customWidth="1"/>
    <col min="14871" max="14885" width="9.140625" style="2" customWidth="1"/>
    <col min="14886" max="14886" width="10.7109375" style="2" customWidth="1"/>
    <col min="14887" max="14887" width="8.7109375" style="2" bestFit="1" customWidth="1"/>
    <col min="14888" max="14888" width="8.28515625" style="2" bestFit="1" customWidth="1"/>
    <col min="14889" max="14889" width="8.140625" style="2" customWidth="1"/>
    <col min="14890" max="14890" width="9.140625" style="2" customWidth="1"/>
    <col min="14891" max="14891" width="8" style="2" customWidth="1"/>
    <col min="14892" max="14892" width="7.85546875" style="2" bestFit="1" customWidth="1"/>
    <col min="14893" max="14893" width="9.42578125" style="2" customWidth="1"/>
    <col min="14894" max="14894" width="11" style="2" customWidth="1"/>
    <col min="14895" max="14895" width="6.42578125" style="2" customWidth="1"/>
    <col min="14896" max="14896" width="8.5703125" style="2" customWidth="1"/>
    <col min="14897" max="14897" width="9.42578125" style="2" customWidth="1"/>
    <col min="14898" max="14899" width="7.42578125" style="2" customWidth="1"/>
    <col min="14900" max="14900" width="10" style="2" bestFit="1" customWidth="1"/>
    <col min="14901" max="14901" width="8.42578125" style="2" bestFit="1" customWidth="1"/>
    <col min="14902" max="14902" width="9" style="2" bestFit="1" customWidth="1"/>
    <col min="14903" max="14903" width="7.7109375" style="2" customWidth="1"/>
    <col min="14904" max="14905" width="8.85546875" style="2" customWidth="1"/>
    <col min="14906" max="14906" width="10" style="2" bestFit="1" customWidth="1"/>
    <col min="14907" max="14907" width="8.7109375" style="2" customWidth="1"/>
    <col min="14908" max="14908" width="10.28515625" style="2" bestFit="1" customWidth="1"/>
    <col min="14909" max="14909" width="7.42578125" style="2" bestFit="1" customWidth="1"/>
    <col min="14910" max="14910" width="8.7109375" style="2" bestFit="1" customWidth="1"/>
    <col min="14911" max="14911" width="6.140625" style="2" bestFit="1" customWidth="1"/>
    <col min="14912" max="14912" width="8" style="2" customWidth="1"/>
    <col min="14913" max="14913" width="9.140625" style="2" customWidth="1"/>
    <col min="14914" max="14914" width="12.140625" style="2" customWidth="1"/>
    <col min="14915" max="14915" width="8.28515625" style="2" bestFit="1" customWidth="1"/>
    <col min="14916" max="14916" width="9.85546875" style="2" bestFit="1" customWidth="1"/>
    <col min="14917" max="14917" width="7.42578125" style="2" bestFit="1" customWidth="1"/>
    <col min="14918" max="14918" width="11.140625" style="2" bestFit="1" customWidth="1"/>
    <col min="14919" max="14919" width="10.42578125" style="2" bestFit="1" customWidth="1"/>
    <col min="14920" max="15122" width="9.140625" style="2"/>
    <col min="15123" max="15123" width="7" style="2" customWidth="1"/>
    <col min="15124" max="15124" width="10" style="2" customWidth="1"/>
    <col min="15125" max="15125" width="7.7109375" style="2" customWidth="1"/>
    <col min="15126" max="15126" width="31.42578125" style="2" bestFit="1" customWidth="1"/>
    <col min="15127" max="15141" width="9.140625" style="2" customWidth="1"/>
    <col min="15142" max="15142" width="10.7109375" style="2" customWidth="1"/>
    <col min="15143" max="15143" width="8.7109375" style="2" bestFit="1" customWidth="1"/>
    <col min="15144" max="15144" width="8.28515625" style="2" bestFit="1" customWidth="1"/>
    <col min="15145" max="15145" width="8.140625" style="2" customWidth="1"/>
    <col min="15146" max="15146" width="9.140625" style="2" customWidth="1"/>
    <col min="15147" max="15147" width="8" style="2" customWidth="1"/>
    <col min="15148" max="15148" width="7.85546875" style="2" bestFit="1" customWidth="1"/>
    <col min="15149" max="15149" width="9.42578125" style="2" customWidth="1"/>
    <col min="15150" max="15150" width="11" style="2" customWidth="1"/>
    <col min="15151" max="15151" width="6.42578125" style="2" customWidth="1"/>
    <col min="15152" max="15152" width="8.5703125" style="2" customWidth="1"/>
    <col min="15153" max="15153" width="9.42578125" style="2" customWidth="1"/>
    <col min="15154" max="15155" width="7.42578125" style="2" customWidth="1"/>
    <col min="15156" max="15156" width="10" style="2" bestFit="1" customWidth="1"/>
    <col min="15157" max="15157" width="8.42578125" style="2" bestFit="1" customWidth="1"/>
    <col min="15158" max="15158" width="9" style="2" bestFit="1" customWidth="1"/>
    <col min="15159" max="15159" width="7.7109375" style="2" customWidth="1"/>
    <col min="15160" max="15161" width="8.85546875" style="2" customWidth="1"/>
    <col min="15162" max="15162" width="10" style="2" bestFit="1" customWidth="1"/>
    <col min="15163" max="15163" width="8.7109375" style="2" customWidth="1"/>
    <col min="15164" max="15164" width="10.28515625" style="2" bestFit="1" customWidth="1"/>
    <col min="15165" max="15165" width="7.42578125" style="2" bestFit="1" customWidth="1"/>
    <col min="15166" max="15166" width="8.7109375" style="2" bestFit="1" customWidth="1"/>
    <col min="15167" max="15167" width="6.140625" style="2" bestFit="1" customWidth="1"/>
    <col min="15168" max="15168" width="8" style="2" customWidth="1"/>
    <col min="15169" max="15169" width="9.140625" style="2" customWidth="1"/>
    <col min="15170" max="15170" width="12.140625" style="2" customWidth="1"/>
    <col min="15171" max="15171" width="8.28515625" style="2" bestFit="1" customWidth="1"/>
    <col min="15172" max="15172" width="9.85546875" style="2" bestFit="1" customWidth="1"/>
    <col min="15173" max="15173" width="7.42578125" style="2" bestFit="1" customWidth="1"/>
    <col min="15174" max="15174" width="11.140625" style="2" bestFit="1" customWidth="1"/>
    <col min="15175" max="15175" width="10.42578125" style="2" bestFit="1" customWidth="1"/>
    <col min="15176" max="15378" width="9.140625" style="2"/>
    <col min="15379" max="15379" width="7" style="2" customWidth="1"/>
    <col min="15380" max="15380" width="10" style="2" customWidth="1"/>
    <col min="15381" max="15381" width="7.7109375" style="2" customWidth="1"/>
    <col min="15382" max="15382" width="31.42578125" style="2" bestFit="1" customWidth="1"/>
    <col min="15383" max="15397" width="9.140625" style="2" customWidth="1"/>
    <col min="15398" max="15398" width="10.7109375" style="2" customWidth="1"/>
    <col min="15399" max="15399" width="8.7109375" style="2" bestFit="1" customWidth="1"/>
    <col min="15400" max="15400" width="8.28515625" style="2" bestFit="1" customWidth="1"/>
    <col min="15401" max="15401" width="8.140625" style="2" customWidth="1"/>
    <col min="15402" max="15402" width="9.140625" style="2" customWidth="1"/>
    <col min="15403" max="15403" width="8" style="2" customWidth="1"/>
    <col min="15404" max="15404" width="7.85546875" style="2" bestFit="1" customWidth="1"/>
    <col min="15405" max="15405" width="9.42578125" style="2" customWidth="1"/>
    <col min="15406" max="15406" width="11" style="2" customWidth="1"/>
    <col min="15407" max="15407" width="6.42578125" style="2" customWidth="1"/>
    <col min="15408" max="15408" width="8.5703125" style="2" customWidth="1"/>
    <col min="15409" max="15409" width="9.42578125" style="2" customWidth="1"/>
    <col min="15410" max="15411" width="7.42578125" style="2" customWidth="1"/>
    <col min="15412" max="15412" width="10" style="2" bestFit="1" customWidth="1"/>
    <col min="15413" max="15413" width="8.42578125" style="2" bestFit="1" customWidth="1"/>
    <col min="15414" max="15414" width="9" style="2" bestFit="1" customWidth="1"/>
    <col min="15415" max="15415" width="7.7109375" style="2" customWidth="1"/>
    <col min="15416" max="15417" width="8.85546875" style="2" customWidth="1"/>
    <col min="15418" max="15418" width="10" style="2" bestFit="1" customWidth="1"/>
    <col min="15419" max="15419" width="8.7109375" style="2" customWidth="1"/>
    <col min="15420" max="15420" width="10.28515625" style="2" bestFit="1" customWidth="1"/>
    <col min="15421" max="15421" width="7.42578125" style="2" bestFit="1" customWidth="1"/>
    <col min="15422" max="15422" width="8.7109375" style="2" bestFit="1" customWidth="1"/>
    <col min="15423" max="15423" width="6.140625" style="2" bestFit="1" customWidth="1"/>
    <col min="15424" max="15424" width="8" style="2" customWidth="1"/>
    <col min="15425" max="15425" width="9.140625" style="2" customWidth="1"/>
    <col min="15426" max="15426" width="12.140625" style="2" customWidth="1"/>
    <col min="15427" max="15427" width="8.28515625" style="2" bestFit="1" customWidth="1"/>
    <col min="15428" max="15428" width="9.85546875" style="2" bestFit="1" customWidth="1"/>
    <col min="15429" max="15429" width="7.42578125" style="2" bestFit="1" customWidth="1"/>
    <col min="15430" max="15430" width="11.140625" style="2" bestFit="1" customWidth="1"/>
    <col min="15431" max="15431" width="10.42578125" style="2" bestFit="1" customWidth="1"/>
    <col min="15432" max="15634" width="9.140625" style="2"/>
    <col min="15635" max="15635" width="7" style="2" customWidth="1"/>
    <col min="15636" max="15636" width="10" style="2" customWidth="1"/>
    <col min="15637" max="15637" width="7.7109375" style="2" customWidth="1"/>
    <col min="15638" max="15638" width="31.42578125" style="2" bestFit="1" customWidth="1"/>
    <col min="15639" max="15653" width="9.140625" style="2" customWidth="1"/>
    <col min="15654" max="15654" width="10.7109375" style="2" customWidth="1"/>
    <col min="15655" max="15655" width="8.7109375" style="2" bestFit="1" customWidth="1"/>
    <col min="15656" max="15656" width="8.28515625" style="2" bestFit="1" customWidth="1"/>
    <col min="15657" max="15657" width="8.140625" style="2" customWidth="1"/>
    <col min="15658" max="15658" width="9.140625" style="2" customWidth="1"/>
    <col min="15659" max="15659" width="8" style="2" customWidth="1"/>
    <col min="15660" max="15660" width="7.85546875" style="2" bestFit="1" customWidth="1"/>
    <col min="15661" max="15661" width="9.42578125" style="2" customWidth="1"/>
    <col min="15662" max="15662" width="11" style="2" customWidth="1"/>
    <col min="15663" max="15663" width="6.42578125" style="2" customWidth="1"/>
    <col min="15664" max="15664" width="8.5703125" style="2" customWidth="1"/>
    <col min="15665" max="15665" width="9.42578125" style="2" customWidth="1"/>
    <col min="15666" max="15667" width="7.42578125" style="2" customWidth="1"/>
    <col min="15668" max="15668" width="10" style="2" bestFit="1" customWidth="1"/>
    <col min="15669" max="15669" width="8.42578125" style="2" bestFit="1" customWidth="1"/>
    <col min="15670" max="15670" width="9" style="2" bestFit="1" customWidth="1"/>
    <col min="15671" max="15671" width="7.7109375" style="2" customWidth="1"/>
    <col min="15672" max="15673" width="8.85546875" style="2" customWidth="1"/>
    <col min="15674" max="15674" width="10" style="2" bestFit="1" customWidth="1"/>
    <col min="15675" max="15675" width="8.7109375" style="2" customWidth="1"/>
    <col min="15676" max="15676" width="10.28515625" style="2" bestFit="1" customWidth="1"/>
    <col min="15677" max="15677" width="7.42578125" style="2" bestFit="1" customWidth="1"/>
    <col min="15678" max="15678" width="8.7109375" style="2" bestFit="1" customWidth="1"/>
    <col min="15679" max="15679" width="6.140625" style="2" bestFit="1" customWidth="1"/>
    <col min="15680" max="15680" width="8" style="2" customWidth="1"/>
    <col min="15681" max="15681" width="9.140625" style="2" customWidth="1"/>
    <col min="15682" max="15682" width="12.140625" style="2" customWidth="1"/>
    <col min="15683" max="15683" width="8.28515625" style="2" bestFit="1" customWidth="1"/>
    <col min="15684" max="15684" width="9.85546875" style="2" bestFit="1" customWidth="1"/>
    <col min="15685" max="15685" width="7.42578125" style="2" bestFit="1" customWidth="1"/>
    <col min="15686" max="15686" width="11.140625" style="2" bestFit="1" customWidth="1"/>
    <col min="15687" max="15687" width="10.42578125" style="2" bestFit="1" customWidth="1"/>
    <col min="15688" max="15890" width="9.140625" style="2"/>
    <col min="15891" max="15891" width="7" style="2" customWidth="1"/>
    <col min="15892" max="15892" width="10" style="2" customWidth="1"/>
    <col min="15893" max="15893" width="7.7109375" style="2" customWidth="1"/>
    <col min="15894" max="15894" width="31.42578125" style="2" bestFit="1" customWidth="1"/>
    <col min="15895" max="15909" width="9.140625" style="2" customWidth="1"/>
    <col min="15910" max="15910" width="10.7109375" style="2" customWidth="1"/>
    <col min="15911" max="15911" width="8.7109375" style="2" bestFit="1" customWidth="1"/>
    <col min="15912" max="15912" width="8.28515625" style="2" bestFit="1" customWidth="1"/>
    <col min="15913" max="15913" width="8.140625" style="2" customWidth="1"/>
    <col min="15914" max="15914" width="9.140625" style="2" customWidth="1"/>
    <col min="15915" max="15915" width="8" style="2" customWidth="1"/>
    <col min="15916" max="15916" width="7.85546875" style="2" bestFit="1" customWidth="1"/>
    <col min="15917" max="15917" width="9.42578125" style="2" customWidth="1"/>
    <col min="15918" max="15918" width="11" style="2" customWidth="1"/>
    <col min="15919" max="15919" width="6.42578125" style="2" customWidth="1"/>
    <col min="15920" max="15920" width="8.5703125" style="2" customWidth="1"/>
    <col min="15921" max="15921" width="9.42578125" style="2" customWidth="1"/>
    <col min="15922" max="15923" width="7.42578125" style="2" customWidth="1"/>
    <col min="15924" max="15924" width="10" style="2" bestFit="1" customWidth="1"/>
    <col min="15925" max="15925" width="8.42578125" style="2" bestFit="1" customWidth="1"/>
    <col min="15926" max="15926" width="9" style="2" bestFit="1" customWidth="1"/>
    <col min="15927" max="15927" width="7.7109375" style="2" customWidth="1"/>
    <col min="15928" max="15929" width="8.85546875" style="2" customWidth="1"/>
    <col min="15930" max="15930" width="10" style="2" bestFit="1" customWidth="1"/>
    <col min="15931" max="15931" width="8.7109375" style="2" customWidth="1"/>
    <col min="15932" max="15932" width="10.28515625" style="2" bestFit="1" customWidth="1"/>
    <col min="15933" max="15933" width="7.42578125" style="2" bestFit="1" customWidth="1"/>
    <col min="15934" max="15934" width="8.7109375" style="2" bestFit="1" customWidth="1"/>
    <col min="15935" max="15935" width="6.140625" style="2" bestFit="1" customWidth="1"/>
    <col min="15936" max="15936" width="8" style="2" customWidth="1"/>
    <col min="15937" max="15937" width="9.140625" style="2" customWidth="1"/>
    <col min="15938" max="15938" width="12.140625" style="2" customWidth="1"/>
    <col min="15939" max="15939" width="8.28515625" style="2" bestFit="1" customWidth="1"/>
    <col min="15940" max="15940" width="9.85546875" style="2" bestFit="1" customWidth="1"/>
    <col min="15941" max="15941" width="7.42578125" style="2" bestFit="1" customWidth="1"/>
    <col min="15942" max="15942" width="11.140625" style="2" bestFit="1" customWidth="1"/>
    <col min="15943" max="15943" width="10.42578125" style="2" bestFit="1" customWidth="1"/>
    <col min="15944" max="16146" width="9.140625" style="2"/>
    <col min="16147" max="16147" width="7" style="2" customWidth="1"/>
    <col min="16148" max="16148" width="10" style="2" customWidth="1"/>
    <col min="16149" max="16149" width="7.7109375" style="2" customWidth="1"/>
    <col min="16150" max="16150" width="31.42578125" style="2" bestFit="1" customWidth="1"/>
    <col min="16151" max="16165" width="9.140625" style="2" customWidth="1"/>
    <col min="16166" max="16166" width="10.7109375" style="2" customWidth="1"/>
    <col min="16167" max="16167" width="8.7109375" style="2" bestFit="1" customWidth="1"/>
    <col min="16168" max="16168" width="8.28515625" style="2" bestFit="1" customWidth="1"/>
    <col min="16169" max="16169" width="8.140625" style="2" customWidth="1"/>
    <col min="16170" max="16170" width="9.140625" style="2" customWidth="1"/>
    <col min="16171" max="16171" width="8" style="2" customWidth="1"/>
    <col min="16172" max="16172" width="7.85546875" style="2" bestFit="1" customWidth="1"/>
    <col min="16173" max="16173" width="9.42578125" style="2" customWidth="1"/>
    <col min="16174" max="16174" width="11" style="2" customWidth="1"/>
    <col min="16175" max="16175" width="6.42578125" style="2" customWidth="1"/>
    <col min="16176" max="16176" width="8.5703125" style="2" customWidth="1"/>
    <col min="16177" max="16177" width="9.42578125" style="2" customWidth="1"/>
    <col min="16178" max="16179" width="7.42578125" style="2" customWidth="1"/>
    <col min="16180" max="16180" width="10" style="2" bestFit="1" customWidth="1"/>
    <col min="16181" max="16181" width="8.42578125" style="2" bestFit="1" customWidth="1"/>
    <col min="16182" max="16182" width="9" style="2" bestFit="1" customWidth="1"/>
    <col min="16183" max="16183" width="7.7109375" style="2" customWidth="1"/>
    <col min="16184" max="16185" width="8.85546875" style="2" customWidth="1"/>
    <col min="16186" max="16186" width="10" style="2" bestFit="1" customWidth="1"/>
    <col min="16187" max="16187" width="8.7109375" style="2" customWidth="1"/>
    <col min="16188" max="16188" width="10.28515625" style="2" bestFit="1" customWidth="1"/>
    <col min="16189" max="16189" width="7.42578125" style="2" bestFit="1" customWidth="1"/>
    <col min="16190" max="16190" width="8.7109375" style="2" bestFit="1" customWidth="1"/>
    <col min="16191" max="16191" width="6.140625" style="2" bestFit="1" customWidth="1"/>
    <col min="16192" max="16192" width="8" style="2" customWidth="1"/>
    <col min="16193" max="16193" width="9.140625" style="2" customWidth="1"/>
    <col min="16194" max="16194" width="12.140625" style="2" customWidth="1"/>
    <col min="16195" max="16195" width="8.28515625" style="2" bestFit="1" customWidth="1"/>
    <col min="16196" max="16196" width="9.85546875" style="2" bestFit="1" customWidth="1"/>
    <col min="16197" max="16197" width="7.42578125" style="2" bestFit="1" customWidth="1"/>
    <col min="16198" max="16198" width="11.140625" style="2" bestFit="1" customWidth="1"/>
    <col min="16199" max="16199" width="10.42578125" style="2" bestFit="1" customWidth="1"/>
    <col min="16200" max="16384" width="9.140625" style="2"/>
  </cols>
  <sheetData>
    <row r="1" spans="1:73" ht="12.75" hidden="1" customHeight="1" x14ac:dyDescent="0.2">
      <c r="A1" s="1" t="s">
        <v>0</v>
      </c>
      <c r="B1" s="1"/>
      <c r="BE1" s="1"/>
      <c r="BM1" s="1" t="s">
        <v>1</v>
      </c>
    </row>
    <row r="2" spans="1:73" x14ac:dyDescent="0.2">
      <c r="A2" s="1" t="s">
        <v>2</v>
      </c>
      <c r="B2" s="1"/>
      <c r="BE2" s="9"/>
      <c r="BM2" s="1" t="s">
        <v>3</v>
      </c>
    </row>
    <row r="3" spans="1:73" x14ac:dyDescent="0.2">
      <c r="A3" s="1" t="s">
        <v>4</v>
      </c>
      <c r="B3" s="1"/>
      <c r="BE3" s="10"/>
      <c r="BM3" s="1" t="s">
        <v>5</v>
      </c>
    </row>
    <row r="4" spans="1:73" ht="15.75" x14ac:dyDescent="0.2">
      <c r="A4" s="1" t="s">
        <v>6</v>
      </c>
      <c r="B4" s="1"/>
      <c r="AS4" s="11"/>
      <c r="AT4" s="11"/>
      <c r="AU4" s="11"/>
      <c r="BE4" s="10"/>
      <c r="BM4" s="1"/>
    </row>
    <row r="5" spans="1:73" ht="15.75" x14ac:dyDescent="0.2">
      <c r="A5" s="1"/>
      <c r="B5" s="1"/>
      <c r="AQ5" s="8">
        <v>1500</v>
      </c>
      <c r="AS5" s="11"/>
      <c r="AT5" s="11"/>
      <c r="AU5" s="11"/>
      <c r="BE5" s="10"/>
      <c r="BM5" s="1"/>
    </row>
    <row r="6" spans="1:73" ht="15.75" x14ac:dyDescent="0.2">
      <c r="A6" s="12" t="s">
        <v>7</v>
      </c>
      <c r="B6" s="1"/>
      <c r="AE6" s="13"/>
      <c r="AF6" s="13"/>
      <c r="AQ6" s="8">
        <v>733</v>
      </c>
      <c r="BM6" s="1"/>
      <c r="BN6" s="14"/>
    </row>
    <row r="7" spans="1:73" s="16" customFormat="1" ht="15" x14ac:dyDescent="0.25">
      <c r="A7" s="96" t="s">
        <v>8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8"/>
      <c r="U7" s="99" t="s">
        <v>9</v>
      </c>
      <c r="V7" s="100"/>
      <c r="W7" s="100"/>
      <c r="X7" s="100"/>
      <c r="Y7" s="100"/>
      <c r="Z7" s="100"/>
      <c r="AA7" s="100"/>
      <c r="AB7" s="101"/>
      <c r="AC7" s="15"/>
      <c r="AD7" s="15"/>
      <c r="AE7" s="102" t="s">
        <v>10</v>
      </c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4"/>
      <c r="AU7" s="105" t="s">
        <v>11</v>
      </c>
      <c r="AV7" s="106"/>
      <c r="AW7" s="106"/>
      <c r="AX7" s="106"/>
      <c r="AY7" s="106"/>
      <c r="AZ7" s="106"/>
      <c r="BA7" s="106"/>
      <c r="BB7" s="106"/>
      <c r="BC7" s="106"/>
      <c r="BD7" s="107"/>
      <c r="BE7" s="108" t="s">
        <v>12</v>
      </c>
      <c r="BF7" s="109"/>
      <c r="BG7" s="109"/>
      <c r="BH7" s="109"/>
      <c r="BI7" s="109"/>
      <c r="BJ7" s="109"/>
      <c r="BK7" s="109"/>
      <c r="BL7" s="109"/>
      <c r="BM7" s="110"/>
      <c r="BN7" s="111" t="s">
        <v>13</v>
      </c>
      <c r="BO7" s="112"/>
      <c r="BP7" s="112"/>
      <c r="BQ7" s="112"/>
      <c r="BR7" s="112"/>
      <c r="BS7" s="113"/>
    </row>
    <row r="8" spans="1:73" ht="64.150000000000006" customHeight="1" x14ac:dyDescent="0.25">
      <c r="A8" s="17" t="s">
        <v>14</v>
      </c>
      <c r="B8" s="18" t="s">
        <v>15</v>
      </c>
      <c r="C8" s="18" t="s">
        <v>16</v>
      </c>
      <c r="D8" s="17" t="s">
        <v>17</v>
      </c>
      <c r="E8" s="19" t="s">
        <v>18</v>
      </c>
      <c r="F8" s="19" t="s">
        <v>19</v>
      </c>
      <c r="G8" s="20" t="s">
        <v>20</v>
      </c>
      <c r="H8" s="19" t="s">
        <v>21</v>
      </c>
      <c r="I8" s="19" t="s">
        <v>22</v>
      </c>
      <c r="J8" s="19" t="s">
        <v>23</v>
      </c>
      <c r="K8" s="19" t="s">
        <v>24</v>
      </c>
      <c r="L8" s="21" t="s">
        <v>25</v>
      </c>
      <c r="M8" s="19" t="s">
        <v>26</v>
      </c>
      <c r="N8" s="19" t="s">
        <v>27</v>
      </c>
      <c r="O8" s="19" t="s">
        <v>28</v>
      </c>
      <c r="P8" s="19" t="s">
        <v>29</v>
      </c>
      <c r="Q8" s="19" t="s">
        <v>30</v>
      </c>
      <c r="R8" s="19" t="s">
        <v>31</v>
      </c>
      <c r="S8" s="22" t="s">
        <v>32</v>
      </c>
      <c r="T8" s="22" t="s">
        <v>33</v>
      </c>
      <c r="U8" s="23" t="s">
        <v>34</v>
      </c>
      <c r="V8" s="23" t="s">
        <v>35</v>
      </c>
      <c r="W8" s="23" t="s">
        <v>36</v>
      </c>
      <c r="X8" s="23" t="s">
        <v>37</v>
      </c>
      <c r="Y8" s="24" t="s">
        <v>38</v>
      </c>
      <c r="Z8" s="24" t="s">
        <v>39</v>
      </c>
      <c r="AA8" s="24" t="s">
        <v>40</v>
      </c>
      <c r="AB8" s="24" t="s">
        <v>41</v>
      </c>
      <c r="AC8" s="24" t="s">
        <v>42</v>
      </c>
      <c r="AD8" s="24" t="s">
        <v>43</v>
      </c>
      <c r="AE8" s="25" t="s">
        <v>44</v>
      </c>
      <c r="AF8" s="25" t="s">
        <v>45</v>
      </c>
      <c r="AG8" s="25" t="s">
        <v>46</v>
      </c>
      <c r="AH8" s="25" t="s">
        <v>47</v>
      </c>
      <c r="AI8" s="25" t="s">
        <v>48</v>
      </c>
      <c r="AJ8" s="25" t="s">
        <v>49</v>
      </c>
      <c r="AK8" s="25" t="s">
        <v>50</v>
      </c>
      <c r="AL8" s="25" t="s">
        <v>51</v>
      </c>
      <c r="AM8" s="25" t="s">
        <v>52</v>
      </c>
      <c r="AN8" s="25" t="s">
        <v>53</v>
      </c>
      <c r="AO8" s="25" t="s">
        <v>54</v>
      </c>
      <c r="AP8" s="25" t="s">
        <v>55</v>
      </c>
      <c r="AQ8" s="25" t="s">
        <v>56</v>
      </c>
      <c r="AR8" s="25" t="s">
        <v>57</v>
      </c>
      <c r="AS8" s="25" t="s">
        <v>58</v>
      </c>
      <c r="AT8" s="25" t="s">
        <v>59</v>
      </c>
      <c r="AU8" s="26" t="s">
        <v>44</v>
      </c>
      <c r="AV8" s="26" t="s">
        <v>45</v>
      </c>
      <c r="AW8" s="26" t="s">
        <v>46</v>
      </c>
      <c r="AX8" s="26" t="s">
        <v>60</v>
      </c>
      <c r="AY8" s="26" t="s">
        <v>61</v>
      </c>
      <c r="AZ8" s="26" t="s">
        <v>49</v>
      </c>
      <c r="BA8" s="26" t="s">
        <v>51</v>
      </c>
      <c r="BB8" s="26" t="s">
        <v>62</v>
      </c>
      <c r="BC8" s="26" t="s">
        <v>40</v>
      </c>
      <c r="BD8" s="26" t="s">
        <v>50</v>
      </c>
      <c r="BE8" s="27" t="s">
        <v>63</v>
      </c>
      <c r="BF8" s="27" t="s">
        <v>64</v>
      </c>
      <c r="BG8" s="27" t="s">
        <v>65</v>
      </c>
      <c r="BH8" s="27" t="s">
        <v>42</v>
      </c>
      <c r="BI8" s="27" t="s">
        <v>66</v>
      </c>
      <c r="BJ8" s="27" t="s">
        <v>67</v>
      </c>
      <c r="BK8" s="27" t="s">
        <v>68</v>
      </c>
      <c r="BL8" s="27" t="s">
        <v>69</v>
      </c>
      <c r="BM8" s="27" t="s">
        <v>70</v>
      </c>
      <c r="BN8" s="28" t="s">
        <v>71</v>
      </c>
      <c r="BO8" s="29" t="s">
        <v>72</v>
      </c>
      <c r="BP8" s="29" t="s">
        <v>68</v>
      </c>
      <c r="BQ8" s="28" t="s">
        <v>73</v>
      </c>
      <c r="BR8" s="28" t="s">
        <v>74</v>
      </c>
      <c r="BS8" s="30" t="s">
        <v>56</v>
      </c>
    </row>
    <row r="9" spans="1:73" s="62" customFormat="1" ht="15.75" x14ac:dyDescent="0.25">
      <c r="A9" s="31">
        <v>1</v>
      </c>
      <c r="B9" s="32"/>
      <c r="C9" s="33" t="s">
        <v>75</v>
      </c>
      <c r="D9" s="34" t="s">
        <v>76</v>
      </c>
      <c r="E9" s="35" t="s">
        <v>77</v>
      </c>
      <c r="F9" s="35" t="s">
        <v>78</v>
      </c>
      <c r="G9" s="36" t="s">
        <v>79</v>
      </c>
      <c r="H9" s="37" t="s">
        <v>80</v>
      </c>
      <c r="I9" s="38" t="s">
        <v>81</v>
      </c>
      <c r="J9" s="39">
        <v>530862680871</v>
      </c>
      <c r="K9" s="40" t="s">
        <v>82</v>
      </c>
      <c r="L9" s="41" t="s">
        <v>83</v>
      </c>
      <c r="M9" s="41" t="s">
        <v>84</v>
      </c>
      <c r="N9" s="42" t="s">
        <v>85</v>
      </c>
      <c r="O9" s="43" t="s">
        <v>86</v>
      </c>
      <c r="P9" s="44">
        <v>8407912136</v>
      </c>
      <c r="Q9" s="35"/>
      <c r="R9" s="35" t="s">
        <v>87</v>
      </c>
      <c r="S9" s="45" t="s">
        <v>88</v>
      </c>
      <c r="T9" s="45" t="s">
        <v>89</v>
      </c>
      <c r="U9" s="46" t="s">
        <v>90</v>
      </c>
      <c r="V9" s="47">
        <v>27</v>
      </c>
      <c r="W9" s="48">
        <v>0</v>
      </c>
      <c r="X9" s="48">
        <v>0</v>
      </c>
      <c r="Y9" s="49">
        <f t="shared" ref="Y9:Y72" si="0">V9+W9+X9</f>
        <v>27</v>
      </c>
      <c r="Z9" s="50"/>
      <c r="AA9" s="51"/>
      <c r="AB9" s="52">
        <f t="shared" ref="AB9:AB72" si="1">(V9+W9)*15</f>
        <v>405</v>
      </c>
      <c r="AC9" s="51"/>
      <c r="AD9" s="51"/>
      <c r="AE9" s="53">
        <v>15525</v>
      </c>
      <c r="AF9" s="54">
        <f t="shared" ref="AF9:AF72" si="2">+AE9*5%</f>
        <v>776.25</v>
      </c>
      <c r="AG9" s="53">
        <v>0</v>
      </c>
      <c r="AH9" s="53">
        <v>0</v>
      </c>
      <c r="AI9" s="55">
        <f t="shared" ref="AI9:AI36" si="3">AE9*8.33%</f>
        <v>1293.2325000000001</v>
      </c>
      <c r="AJ9" s="55">
        <f>AE9*5%</f>
        <v>776.25</v>
      </c>
      <c r="AK9" s="50">
        <f>SUM(AE9:AJ9)</f>
        <v>18370.732499999998</v>
      </c>
      <c r="AL9" s="50">
        <v>1500</v>
      </c>
      <c r="AM9" s="50">
        <v>1950</v>
      </c>
      <c r="AN9" s="50">
        <f>(AK9-AI9)*3.25%</f>
        <v>555.01875000000007</v>
      </c>
      <c r="AO9" s="50">
        <v>300</v>
      </c>
      <c r="AP9" s="50">
        <f>(AK9+AM9+AN9+AO9)*7%</f>
        <v>1482.3025875000001</v>
      </c>
      <c r="AQ9" s="50">
        <f>AK9+AM9+AO9+AN9+AP9+AL9</f>
        <v>24158.053837499996</v>
      </c>
      <c r="AR9" s="52">
        <f t="shared" ref="AR9:AR72" si="4">AQ9/U9</f>
        <v>894.74273472222205</v>
      </c>
      <c r="AS9" s="52">
        <f t="shared" ref="AS9:AS72" si="5">(AE9+AF9+AG9)/U9/8</f>
        <v>75.46875</v>
      </c>
      <c r="AT9" s="52">
        <f t="shared" ref="AT9:AT72" si="6">(AS9*3.25%)+(AS9)+(AS9*3.25%+AS9)*7%</f>
        <v>83.375988281250002</v>
      </c>
      <c r="AU9" s="50">
        <f t="shared" ref="AU9:AU72" si="7">AE9/U9*Y9</f>
        <v>15525</v>
      </c>
      <c r="AV9" s="50">
        <f t="shared" ref="AV9:AV72" si="8">AF9/U9*Y9</f>
        <v>776.25</v>
      </c>
      <c r="AW9" s="50">
        <f t="shared" ref="AW9:AW72" si="9">AG9/U9*Y9</f>
        <v>0</v>
      </c>
      <c r="AX9" s="50">
        <f t="shared" ref="AX9:AX72" si="10">AH9/U9*Y9</f>
        <v>0</v>
      </c>
      <c r="AY9" s="50">
        <f t="shared" ref="AY9:AY72" si="11">AI9/U9*Y9</f>
        <v>1293.2325000000001</v>
      </c>
      <c r="AZ9" s="50">
        <f>AJ9/U9*Y9</f>
        <v>776.25</v>
      </c>
      <c r="BA9" s="56">
        <f t="shared" ref="BA9:BA72" si="12">ROUND(AL9/U9*Y9,0)</f>
        <v>1500</v>
      </c>
      <c r="BB9" s="50">
        <f t="shared" ref="BB9:BB72" si="13">ROUND(AS9*Z9,0)</f>
        <v>0</v>
      </c>
      <c r="BC9" s="50">
        <f t="shared" ref="BC9:BC72" si="14">+AA9</f>
        <v>0</v>
      </c>
      <c r="BD9" s="50">
        <f>AU9+AV9+AW9+BA9+BB9+BC9+AX9+AY9+AZ9</f>
        <v>19870.732499999998</v>
      </c>
      <c r="BE9" s="57">
        <f t="shared" ref="BE9:BE72" si="15">IF(ROUND(IF((AK9)&lt;=15000,(AQ9)*12%,15000*12%*Y9/U9),0)&lt;=1800,ROUND(IF((AK9)&lt;=15000,(AQ9)*12%,15000*12%*Y9/U9),0),1800)</f>
        <v>1800</v>
      </c>
      <c r="BF9" s="50">
        <f>ROUNDUP((BD9-BA9-AY9-AZ9)*0.75%,0)</f>
        <v>123</v>
      </c>
      <c r="BG9" s="58">
        <f>IF(BD9&gt;=10000,200,IF(BD9&gt;=7500,175,IF(BD9&lt;=7500,0)))</f>
        <v>200</v>
      </c>
      <c r="BH9" s="55">
        <f t="shared" ref="BH9:BI34" si="16">AC9</f>
        <v>0</v>
      </c>
      <c r="BI9" s="55">
        <f t="shared" si="16"/>
        <v>0</v>
      </c>
      <c r="BJ9" s="55">
        <f t="shared" ref="BJ9:BJ72" si="17">+AB9</f>
        <v>405</v>
      </c>
      <c r="BK9" s="59">
        <v>25</v>
      </c>
      <c r="BL9" s="60">
        <f t="shared" ref="BL9:BL72" si="18">BK9+BJ9+BI9+BH9+BG9+BF9+BE9</f>
        <v>2553</v>
      </c>
      <c r="BM9" s="61">
        <f t="shared" ref="BM9:BM72" si="19">ROUND(BD9-BE9-BF9-BG9-BH9-BI9-BJ9-BK9,0)</f>
        <v>17318</v>
      </c>
      <c r="BN9" s="57">
        <f t="shared" ref="BN9:BN72" si="20">IF(ROUND(IF((AK9)&lt;=15000,(AQ9)*13%,15000*13%*Y9/U9),0)&lt;=1950,ROUND(IF((AK9)&lt;=15000,(AQ9)*13%,15000*13%*Y9/U9),0),1950)</f>
        <v>1950</v>
      </c>
      <c r="BO9" s="55">
        <f>ROUND((BD9-BA9-AY9-AZ9)*3.25%,0)</f>
        <v>530</v>
      </c>
      <c r="BP9" s="55">
        <v>75</v>
      </c>
      <c r="BQ9" s="55">
        <v>300</v>
      </c>
      <c r="BR9" s="55">
        <f>ROUND((BQ9+BN9+BO9+BP9+BD9-BA9)*7%,0)</f>
        <v>1486</v>
      </c>
      <c r="BS9" s="50">
        <f t="shared" ref="BS9:BS72" si="21">BD9+BN9+BO9+BQ9+BR9+BP9</f>
        <v>24211.732499999998</v>
      </c>
      <c r="BU9" s="63"/>
    </row>
    <row r="10" spans="1:73" s="62" customFormat="1" ht="15" customHeight="1" x14ac:dyDescent="0.25">
      <c r="A10" s="31">
        <v>2</v>
      </c>
      <c r="B10" s="32"/>
      <c r="C10" s="33" t="s">
        <v>91</v>
      </c>
      <c r="D10" s="34" t="s">
        <v>92</v>
      </c>
      <c r="E10" s="35" t="s">
        <v>93</v>
      </c>
      <c r="F10" s="35" t="s">
        <v>78</v>
      </c>
      <c r="G10" s="36" t="s">
        <v>94</v>
      </c>
      <c r="H10" s="37" t="s">
        <v>95</v>
      </c>
      <c r="I10" s="38" t="s">
        <v>81</v>
      </c>
      <c r="J10" s="39">
        <v>311347165754</v>
      </c>
      <c r="K10" s="40" t="s">
        <v>96</v>
      </c>
      <c r="L10" s="41" t="s">
        <v>97</v>
      </c>
      <c r="M10" s="41" t="s">
        <v>98</v>
      </c>
      <c r="N10" s="42" t="s">
        <v>99</v>
      </c>
      <c r="O10" s="43" t="s">
        <v>100</v>
      </c>
      <c r="P10" s="44">
        <v>7507815727</v>
      </c>
      <c r="Q10" s="45"/>
      <c r="R10" s="64" t="s">
        <v>101</v>
      </c>
      <c r="S10" s="45" t="s">
        <v>88</v>
      </c>
      <c r="T10" s="45" t="s">
        <v>89</v>
      </c>
      <c r="U10" s="46" t="s">
        <v>90</v>
      </c>
      <c r="V10" s="47">
        <v>26.5</v>
      </c>
      <c r="W10" s="48">
        <v>0</v>
      </c>
      <c r="X10" s="48">
        <v>0</v>
      </c>
      <c r="Y10" s="49">
        <f t="shared" si="0"/>
        <v>26.5</v>
      </c>
      <c r="Z10" s="50"/>
      <c r="AA10" s="51"/>
      <c r="AB10" s="52">
        <f t="shared" si="1"/>
        <v>397.5</v>
      </c>
      <c r="AC10" s="51"/>
      <c r="AD10" s="51"/>
      <c r="AE10" s="53">
        <v>15525</v>
      </c>
      <c r="AF10" s="54">
        <f t="shared" si="2"/>
        <v>776.25</v>
      </c>
      <c r="AG10" s="53">
        <v>0</v>
      </c>
      <c r="AH10" s="53">
        <v>0</v>
      </c>
      <c r="AI10" s="55">
        <f t="shared" si="3"/>
        <v>1293.2325000000001</v>
      </c>
      <c r="AJ10" s="55">
        <f t="shared" ref="AJ10:AJ73" si="22">AE10*5%</f>
        <v>776.25</v>
      </c>
      <c r="AK10" s="50">
        <f t="shared" ref="AK10:AK73" si="23">SUM(AE10:AJ10)</f>
        <v>18370.732499999998</v>
      </c>
      <c r="AL10" s="50">
        <v>1500</v>
      </c>
      <c r="AM10" s="50">
        <v>1950</v>
      </c>
      <c r="AN10" s="50">
        <f t="shared" ref="AN10:AN73" si="24">(AK10-AI10)*3.25%</f>
        <v>555.01875000000007</v>
      </c>
      <c r="AO10" s="50">
        <v>300</v>
      </c>
      <c r="AP10" s="50">
        <f t="shared" ref="AP10:AP73" si="25">(AK10+AM10+AN10+AO10)*7%</f>
        <v>1482.3025875000001</v>
      </c>
      <c r="AQ10" s="50">
        <f t="shared" ref="AQ10:AQ73" si="26">AK10+AM10+AO10+AN10+AP10+AL10</f>
        <v>24158.053837499996</v>
      </c>
      <c r="AR10" s="52">
        <f t="shared" si="4"/>
        <v>894.74273472222205</v>
      </c>
      <c r="AS10" s="52">
        <f t="shared" si="5"/>
        <v>75.46875</v>
      </c>
      <c r="AT10" s="52">
        <f t="shared" si="6"/>
        <v>83.375988281250002</v>
      </c>
      <c r="AU10" s="50">
        <f t="shared" si="7"/>
        <v>15237.5</v>
      </c>
      <c r="AV10" s="50">
        <f t="shared" si="8"/>
        <v>761.875</v>
      </c>
      <c r="AW10" s="50">
        <f t="shared" si="9"/>
        <v>0</v>
      </c>
      <c r="AX10" s="50">
        <f t="shared" si="10"/>
        <v>0</v>
      </c>
      <c r="AY10" s="50">
        <f t="shared" si="11"/>
        <v>1269.2837500000001</v>
      </c>
      <c r="AZ10" s="50">
        <f t="shared" ref="AZ10:AZ73" si="27">AJ10/U10*Y10</f>
        <v>761.875</v>
      </c>
      <c r="BA10" s="56">
        <f t="shared" si="12"/>
        <v>1472</v>
      </c>
      <c r="BB10" s="50">
        <f t="shared" si="13"/>
        <v>0</v>
      </c>
      <c r="BC10" s="50">
        <f t="shared" si="14"/>
        <v>0</v>
      </c>
      <c r="BD10" s="50">
        <f t="shared" ref="BD10:BD73" si="28">AU10+AV10+AW10+BA10+BB10+BC10+AX10+AY10+AZ10</f>
        <v>19502.533749999999</v>
      </c>
      <c r="BE10" s="57">
        <f t="shared" si="15"/>
        <v>1767</v>
      </c>
      <c r="BF10" s="50">
        <f t="shared" ref="BF10:BF73" si="29">ROUNDUP((BD10-BA10-AY10-AZ10)*0.75%,0)</f>
        <v>120</v>
      </c>
      <c r="BG10" s="58">
        <f t="shared" ref="BG10:BG73" si="30">IF(BD10&gt;=10000,200,IF(BD10&gt;=7500,175,IF(BD10&lt;=7500,0)))</f>
        <v>200</v>
      </c>
      <c r="BH10" s="55">
        <f t="shared" si="16"/>
        <v>0</v>
      </c>
      <c r="BI10" s="55">
        <f t="shared" si="16"/>
        <v>0</v>
      </c>
      <c r="BJ10" s="55">
        <f t="shared" si="17"/>
        <v>397.5</v>
      </c>
      <c r="BK10" s="59">
        <v>25</v>
      </c>
      <c r="BL10" s="60">
        <f t="shared" si="18"/>
        <v>2509.5</v>
      </c>
      <c r="BM10" s="61">
        <f t="shared" si="19"/>
        <v>16993</v>
      </c>
      <c r="BN10" s="57">
        <f t="shared" si="20"/>
        <v>1914</v>
      </c>
      <c r="BO10" s="55">
        <f t="shared" ref="BO10:BO73" si="31">ROUND((BD10-BA10-AY10-AZ10)*3.25%,0)</f>
        <v>520</v>
      </c>
      <c r="BP10" s="55">
        <v>75</v>
      </c>
      <c r="BQ10" s="55">
        <v>300</v>
      </c>
      <c r="BR10" s="55">
        <f t="shared" ref="BR10:BR73" si="32">ROUND((BQ10+BN10+BO10+BP10+BD10-BA10)*7%,0)</f>
        <v>1459</v>
      </c>
      <c r="BS10" s="50">
        <f t="shared" si="21"/>
        <v>23770.533749999999</v>
      </c>
    </row>
    <row r="11" spans="1:73" s="62" customFormat="1" ht="15.75" x14ac:dyDescent="0.25">
      <c r="A11" s="31">
        <v>3</v>
      </c>
      <c r="B11" s="32"/>
      <c r="C11" s="33" t="s">
        <v>102</v>
      </c>
      <c r="D11" s="34" t="s">
        <v>103</v>
      </c>
      <c r="E11" s="35" t="s">
        <v>104</v>
      </c>
      <c r="F11" s="35" t="s">
        <v>78</v>
      </c>
      <c r="G11" s="36" t="s">
        <v>105</v>
      </c>
      <c r="H11" s="37" t="s">
        <v>106</v>
      </c>
      <c r="I11" s="38" t="s">
        <v>81</v>
      </c>
      <c r="J11" s="39">
        <v>764884606120</v>
      </c>
      <c r="K11" s="40" t="s">
        <v>107</v>
      </c>
      <c r="L11" s="41">
        <v>2969231692</v>
      </c>
      <c r="M11" s="41" t="s">
        <v>108</v>
      </c>
      <c r="N11" s="42" t="s">
        <v>109</v>
      </c>
      <c r="O11" s="43">
        <v>2504945416</v>
      </c>
      <c r="P11" s="44">
        <v>8767816705</v>
      </c>
      <c r="Q11" s="35"/>
      <c r="R11" s="64" t="s">
        <v>110</v>
      </c>
      <c r="S11" s="45" t="s">
        <v>88</v>
      </c>
      <c r="T11" s="45" t="s">
        <v>89</v>
      </c>
      <c r="U11" s="46" t="s">
        <v>90</v>
      </c>
      <c r="V11" s="47">
        <v>26</v>
      </c>
      <c r="W11" s="48">
        <v>0</v>
      </c>
      <c r="X11" s="48">
        <v>0</v>
      </c>
      <c r="Y11" s="49">
        <f t="shared" si="0"/>
        <v>26</v>
      </c>
      <c r="Z11" s="50"/>
      <c r="AA11" s="51"/>
      <c r="AB11" s="52">
        <f t="shared" si="1"/>
        <v>390</v>
      </c>
      <c r="AC11" s="51"/>
      <c r="AD11" s="51"/>
      <c r="AE11" s="53">
        <v>15525</v>
      </c>
      <c r="AF11" s="54">
        <f t="shared" si="2"/>
        <v>776.25</v>
      </c>
      <c r="AG11" s="53">
        <v>0</v>
      </c>
      <c r="AH11" s="53">
        <v>0</v>
      </c>
      <c r="AI11" s="55">
        <f t="shared" si="3"/>
        <v>1293.2325000000001</v>
      </c>
      <c r="AJ11" s="55">
        <f t="shared" si="22"/>
        <v>776.25</v>
      </c>
      <c r="AK11" s="50">
        <f t="shared" si="23"/>
        <v>18370.732499999998</v>
      </c>
      <c r="AL11" s="50">
        <v>1500</v>
      </c>
      <c r="AM11" s="50">
        <v>1950</v>
      </c>
      <c r="AN11" s="50">
        <f t="shared" si="24"/>
        <v>555.01875000000007</v>
      </c>
      <c r="AO11" s="50">
        <v>300</v>
      </c>
      <c r="AP11" s="50">
        <f t="shared" si="25"/>
        <v>1482.3025875000001</v>
      </c>
      <c r="AQ11" s="50">
        <f t="shared" si="26"/>
        <v>24158.053837499996</v>
      </c>
      <c r="AR11" s="52">
        <f t="shared" si="4"/>
        <v>894.74273472222205</v>
      </c>
      <c r="AS11" s="52">
        <f t="shared" si="5"/>
        <v>75.46875</v>
      </c>
      <c r="AT11" s="52">
        <f t="shared" si="6"/>
        <v>83.375988281250002</v>
      </c>
      <c r="AU11" s="50">
        <f t="shared" si="7"/>
        <v>14950</v>
      </c>
      <c r="AV11" s="50">
        <f t="shared" si="8"/>
        <v>747.5</v>
      </c>
      <c r="AW11" s="50">
        <f t="shared" si="9"/>
        <v>0</v>
      </c>
      <c r="AX11" s="50">
        <f t="shared" si="10"/>
        <v>0</v>
      </c>
      <c r="AY11" s="50">
        <f t="shared" si="11"/>
        <v>1245.335</v>
      </c>
      <c r="AZ11" s="50">
        <f t="shared" si="27"/>
        <v>747.5</v>
      </c>
      <c r="BA11" s="56">
        <f t="shared" si="12"/>
        <v>1444</v>
      </c>
      <c r="BB11" s="50">
        <f t="shared" si="13"/>
        <v>0</v>
      </c>
      <c r="BC11" s="50">
        <f t="shared" si="14"/>
        <v>0</v>
      </c>
      <c r="BD11" s="50">
        <f t="shared" si="28"/>
        <v>19134.334999999999</v>
      </c>
      <c r="BE11" s="57">
        <f t="shared" si="15"/>
        <v>1733</v>
      </c>
      <c r="BF11" s="50">
        <f t="shared" si="29"/>
        <v>118</v>
      </c>
      <c r="BG11" s="58">
        <f t="shared" si="30"/>
        <v>200</v>
      </c>
      <c r="BH11" s="55">
        <f t="shared" si="16"/>
        <v>0</v>
      </c>
      <c r="BI11" s="55">
        <f t="shared" si="16"/>
        <v>0</v>
      </c>
      <c r="BJ11" s="55">
        <f t="shared" si="17"/>
        <v>390</v>
      </c>
      <c r="BK11" s="59">
        <v>25</v>
      </c>
      <c r="BL11" s="60">
        <f t="shared" si="18"/>
        <v>2466</v>
      </c>
      <c r="BM11" s="61">
        <f t="shared" si="19"/>
        <v>16668</v>
      </c>
      <c r="BN11" s="57">
        <f t="shared" si="20"/>
        <v>1878</v>
      </c>
      <c r="BO11" s="55">
        <f t="shared" si="31"/>
        <v>510</v>
      </c>
      <c r="BP11" s="55">
        <v>75</v>
      </c>
      <c r="BQ11" s="55">
        <v>300</v>
      </c>
      <c r="BR11" s="55">
        <f t="shared" si="32"/>
        <v>1432</v>
      </c>
      <c r="BS11" s="50">
        <f t="shared" si="21"/>
        <v>23329.334999999999</v>
      </c>
    </row>
    <row r="12" spans="1:73" s="62" customFormat="1" ht="15.75" x14ac:dyDescent="0.25">
      <c r="A12" s="31">
        <v>4</v>
      </c>
      <c r="B12" s="32"/>
      <c r="C12" s="33" t="s">
        <v>111</v>
      </c>
      <c r="D12" s="34" t="s">
        <v>112</v>
      </c>
      <c r="E12" s="35" t="s">
        <v>113</v>
      </c>
      <c r="F12" s="35" t="s">
        <v>78</v>
      </c>
      <c r="G12" s="36" t="s">
        <v>114</v>
      </c>
      <c r="H12" s="37" t="s">
        <v>115</v>
      </c>
      <c r="I12" s="38" t="s">
        <v>81</v>
      </c>
      <c r="J12" s="39">
        <v>825712414940</v>
      </c>
      <c r="K12" s="40" t="s">
        <v>82</v>
      </c>
      <c r="L12" s="41" t="s">
        <v>116</v>
      </c>
      <c r="M12" s="41" t="s">
        <v>84</v>
      </c>
      <c r="N12" s="42" t="s">
        <v>117</v>
      </c>
      <c r="O12" s="43" t="s">
        <v>118</v>
      </c>
      <c r="P12" s="44">
        <v>7507269385</v>
      </c>
      <c r="Q12" s="40"/>
      <c r="R12" s="64" t="s">
        <v>110</v>
      </c>
      <c r="S12" s="45" t="s">
        <v>88</v>
      </c>
      <c r="T12" s="45" t="s">
        <v>89</v>
      </c>
      <c r="U12" s="46" t="s">
        <v>90</v>
      </c>
      <c r="V12" s="47">
        <v>23</v>
      </c>
      <c r="W12" s="48">
        <v>0</v>
      </c>
      <c r="X12" s="48">
        <v>0</v>
      </c>
      <c r="Y12" s="49">
        <f t="shared" si="0"/>
        <v>23</v>
      </c>
      <c r="Z12" s="50"/>
      <c r="AA12" s="51"/>
      <c r="AB12" s="52">
        <f t="shared" si="1"/>
        <v>345</v>
      </c>
      <c r="AC12" s="51"/>
      <c r="AD12" s="51"/>
      <c r="AE12" s="53">
        <v>15525</v>
      </c>
      <c r="AF12" s="54">
        <f t="shared" si="2"/>
        <v>776.25</v>
      </c>
      <c r="AG12" s="53">
        <v>0</v>
      </c>
      <c r="AH12" s="53">
        <v>0</v>
      </c>
      <c r="AI12" s="55">
        <f t="shared" si="3"/>
        <v>1293.2325000000001</v>
      </c>
      <c r="AJ12" s="55">
        <f t="shared" si="22"/>
        <v>776.25</v>
      </c>
      <c r="AK12" s="50">
        <f t="shared" si="23"/>
        <v>18370.732499999998</v>
      </c>
      <c r="AL12" s="50">
        <v>1500</v>
      </c>
      <c r="AM12" s="50">
        <v>1950</v>
      </c>
      <c r="AN12" s="50">
        <f t="shared" si="24"/>
        <v>555.01875000000007</v>
      </c>
      <c r="AO12" s="50">
        <v>300</v>
      </c>
      <c r="AP12" s="50">
        <f t="shared" si="25"/>
        <v>1482.3025875000001</v>
      </c>
      <c r="AQ12" s="50">
        <f t="shared" si="26"/>
        <v>24158.053837499996</v>
      </c>
      <c r="AR12" s="52">
        <f t="shared" si="4"/>
        <v>894.74273472222205</v>
      </c>
      <c r="AS12" s="52">
        <f t="shared" si="5"/>
        <v>75.46875</v>
      </c>
      <c r="AT12" s="52">
        <f t="shared" si="6"/>
        <v>83.375988281250002</v>
      </c>
      <c r="AU12" s="50">
        <f t="shared" si="7"/>
        <v>13225</v>
      </c>
      <c r="AV12" s="50">
        <f t="shared" si="8"/>
        <v>661.25</v>
      </c>
      <c r="AW12" s="50">
        <f t="shared" si="9"/>
        <v>0</v>
      </c>
      <c r="AX12" s="50">
        <f t="shared" si="10"/>
        <v>0</v>
      </c>
      <c r="AY12" s="50">
        <f t="shared" si="11"/>
        <v>1101.6424999999999</v>
      </c>
      <c r="AZ12" s="50">
        <f t="shared" si="27"/>
        <v>661.25</v>
      </c>
      <c r="BA12" s="56">
        <f t="shared" si="12"/>
        <v>1278</v>
      </c>
      <c r="BB12" s="50">
        <f t="shared" si="13"/>
        <v>0</v>
      </c>
      <c r="BC12" s="50">
        <f t="shared" si="14"/>
        <v>0</v>
      </c>
      <c r="BD12" s="50">
        <f t="shared" si="28"/>
        <v>16927.142500000002</v>
      </c>
      <c r="BE12" s="57">
        <f t="shared" si="15"/>
        <v>1533</v>
      </c>
      <c r="BF12" s="50">
        <f t="shared" si="29"/>
        <v>105</v>
      </c>
      <c r="BG12" s="58">
        <f t="shared" si="30"/>
        <v>200</v>
      </c>
      <c r="BH12" s="55">
        <f t="shared" si="16"/>
        <v>0</v>
      </c>
      <c r="BI12" s="55">
        <f t="shared" si="16"/>
        <v>0</v>
      </c>
      <c r="BJ12" s="55">
        <f t="shared" si="17"/>
        <v>345</v>
      </c>
      <c r="BK12" s="59">
        <v>25</v>
      </c>
      <c r="BL12" s="60">
        <f t="shared" si="18"/>
        <v>2208</v>
      </c>
      <c r="BM12" s="61">
        <f t="shared" si="19"/>
        <v>14719</v>
      </c>
      <c r="BN12" s="57">
        <f t="shared" si="20"/>
        <v>1661</v>
      </c>
      <c r="BO12" s="55">
        <f t="shared" si="31"/>
        <v>451</v>
      </c>
      <c r="BP12" s="55">
        <v>75</v>
      </c>
      <c r="BQ12" s="55">
        <v>300</v>
      </c>
      <c r="BR12" s="55">
        <f t="shared" si="32"/>
        <v>1270</v>
      </c>
      <c r="BS12" s="50">
        <f t="shared" si="21"/>
        <v>20684.142500000002</v>
      </c>
    </row>
    <row r="13" spans="1:73" s="62" customFormat="1" ht="15.75" x14ac:dyDescent="0.25">
      <c r="A13" s="31">
        <v>5</v>
      </c>
      <c r="B13" s="32"/>
      <c r="C13" s="33" t="s">
        <v>119</v>
      </c>
      <c r="D13" s="34" t="s">
        <v>120</v>
      </c>
      <c r="E13" s="35" t="s">
        <v>121</v>
      </c>
      <c r="F13" s="35" t="s">
        <v>78</v>
      </c>
      <c r="G13" s="36" t="s">
        <v>122</v>
      </c>
      <c r="H13" s="37" t="s">
        <v>123</v>
      </c>
      <c r="I13" s="38" t="s">
        <v>81</v>
      </c>
      <c r="J13" s="39">
        <v>640238202423</v>
      </c>
      <c r="K13" s="40" t="s">
        <v>107</v>
      </c>
      <c r="L13" s="41">
        <v>3168608530</v>
      </c>
      <c r="M13" s="41" t="s">
        <v>124</v>
      </c>
      <c r="N13" s="42" t="s">
        <v>125</v>
      </c>
      <c r="O13" s="43" t="s">
        <v>126</v>
      </c>
      <c r="P13" s="44">
        <v>9970895928</v>
      </c>
      <c r="Q13" s="40"/>
      <c r="R13" s="35" t="s">
        <v>110</v>
      </c>
      <c r="S13" s="45" t="s">
        <v>88</v>
      </c>
      <c r="T13" s="45" t="s">
        <v>89</v>
      </c>
      <c r="U13" s="46" t="s">
        <v>90</v>
      </c>
      <c r="V13" s="47">
        <v>27</v>
      </c>
      <c r="W13" s="48">
        <v>0</v>
      </c>
      <c r="X13" s="48">
        <v>0</v>
      </c>
      <c r="Y13" s="49">
        <f t="shared" si="0"/>
        <v>27</v>
      </c>
      <c r="Z13" s="50"/>
      <c r="AA13" s="51"/>
      <c r="AB13" s="52">
        <f t="shared" si="1"/>
        <v>405</v>
      </c>
      <c r="AC13" s="51"/>
      <c r="AD13" s="51"/>
      <c r="AE13" s="53">
        <v>15525</v>
      </c>
      <c r="AF13" s="54">
        <f t="shared" si="2"/>
        <v>776.25</v>
      </c>
      <c r="AG13" s="53">
        <v>0</v>
      </c>
      <c r="AH13" s="53">
        <v>1000</v>
      </c>
      <c r="AI13" s="55">
        <f t="shared" si="3"/>
        <v>1293.2325000000001</v>
      </c>
      <c r="AJ13" s="55">
        <f t="shared" si="22"/>
        <v>776.25</v>
      </c>
      <c r="AK13" s="50">
        <f t="shared" si="23"/>
        <v>19370.732499999998</v>
      </c>
      <c r="AL13" s="50">
        <v>1500</v>
      </c>
      <c r="AM13" s="50">
        <v>1950</v>
      </c>
      <c r="AN13" s="50">
        <f t="shared" si="24"/>
        <v>587.51875000000007</v>
      </c>
      <c r="AO13" s="50">
        <v>300</v>
      </c>
      <c r="AP13" s="50">
        <f t="shared" si="25"/>
        <v>1554.5775874999999</v>
      </c>
      <c r="AQ13" s="50">
        <f t="shared" si="26"/>
        <v>25262.828837499997</v>
      </c>
      <c r="AR13" s="52">
        <f t="shared" si="4"/>
        <v>935.66032731481471</v>
      </c>
      <c r="AS13" s="52">
        <f t="shared" si="5"/>
        <v>75.46875</v>
      </c>
      <c r="AT13" s="52">
        <f t="shared" si="6"/>
        <v>83.375988281250002</v>
      </c>
      <c r="AU13" s="50">
        <f t="shared" si="7"/>
        <v>15525</v>
      </c>
      <c r="AV13" s="50">
        <f t="shared" si="8"/>
        <v>776.25</v>
      </c>
      <c r="AW13" s="50">
        <f t="shared" si="9"/>
        <v>0</v>
      </c>
      <c r="AX13" s="50">
        <f t="shared" si="10"/>
        <v>1000</v>
      </c>
      <c r="AY13" s="50">
        <f t="shared" si="11"/>
        <v>1293.2325000000001</v>
      </c>
      <c r="AZ13" s="50">
        <f t="shared" si="27"/>
        <v>776.25</v>
      </c>
      <c r="BA13" s="56">
        <f t="shared" si="12"/>
        <v>1500</v>
      </c>
      <c r="BB13" s="50">
        <f t="shared" si="13"/>
        <v>0</v>
      </c>
      <c r="BC13" s="50">
        <f t="shared" si="14"/>
        <v>0</v>
      </c>
      <c r="BD13" s="50">
        <f t="shared" si="28"/>
        <v>20870.732499999998</v>
      </c>
      <c r="BE13" s="57">
        <f t="shared" si="15"/>
        <v>1800</v>
      </c>
      <c r="BF13" s="50">
        <f t="shared" si="29"/>
        <v>130</v>
      </c>
      <c r="BG13" s="58">
        <f t="shared" si="30"/>
        <v>200</v>
      </c>
      <c r="BH13" s="55">
        <f t="shared" si="16"/>
        <v>0</v>
      </c>
      <c r="BI13" s="55">
        <f t="shared" si="16"/>
        <v>0</v>
      </c>
      <c r="BJ13" s="55">
        <f t="shared" si="17"/>
        <v>405</v>
      </c>
      <c r="BK13" s="59">
        <v>25</v>
      </c>
      <c r="BL13" s="60">
        <f t="shared" si="18"/>
        <v>2560</v>
      </c>
      <c r="BM13" s="61">
        <f t="shared" si="19"/>
        <v>18311</v>
      </c>
      <c r="BN13" s="57">
        <f t="shared" si="20"/>
        <v>1950</v>
      </c>
      <c r="BO13" s="55">
        <f t="shared" si="31"/>
        <v>562</v>
      </c>
      <c r="BP13" s="55">
        <v>75</v>
      </c>
      <c r="BQ13" s="55">
        <v>300</v>
      </c>
      <c r="BR13" s="55">
        <f t="shared" si="32"/>
        <v>1558</v>
      </c>
      <c r="BS13" s="50">
        <f t="shared" si="21"/>
        <v>25315.732499999998</v>
      </c>
    </row>
    <row r="14" spans="1:73" s="62" customFormat="1" ht="15.75" x14ac:dyDescent="0.25">
      <c r="A14" s="31">
        <v>6</v>
      </c>
      <c r="B14" s="32"/>
      <c r="C14" s="33" t="s">
        <v>127</v>
      </c>
      <c r="D14" s="34" t="s">
        <v>128</v>
      </c>
      <c r="E14" s="35" t="s">
        <v>129</v>
      </c>
      <c r="F14" s="35" t="s">
        <v>78</v>
      </c>
      <c r="G14" s="36" t="s">
        <v>122</v>
      </c>
      <c r="H14" s="37" t="s">
        <v>130</v>
      </c>
      <c r="I14" s="38" t="s">
        <v>81</v>
      </c>
      <c r="J14" s="39">
        <v>402057814448</v>
      </c>
      <c r="K14" s="40" t="s">
        <v>96</v>
      </c>
      <c r="L14" s="41" t="s">
        <v>131</v>
      </c>
      <c r="M14" s="41" t="s">
        <v>132</v>
      </c>
      <c r="N14" s="42" t="s">
        <v>133</v>
      </c>
      <c r="O14" s="43" t="s">
        <v>134</v>
      </c>
      <c r="P14" s="44">
        <v>9307381629</v>
      </c>
      <c r="Q14" s="35"/>
      <c r="R14" s="35" t="s">
        <v>135</v>
      </c>
      <c r="S14" s="45" t="s">
        <v>88</v>
      </c>
      <c r="T14" s="45" t="s">
        <v>89</v>
      </c>
      <c r="U14" s="46" t="s">
        <v>90</v>
      </c>
      <c r="V14" s="65">
        <v>26</v>
      </c>
      <c r="W14" s="48">
        <v>0</v>
      </c>
      <c r="X14" s="48">
        <v>0</v>
      </c>
      <c r="Y14" s="49">
        <f t="shared" si="0"/>
        <v>26</v>
      </c>
      <c r="Z14" s="50"/>
      <c r="AA14" s="51"/>
      <c r="AB14" s="52">
        <f t="shared" si="1"/>
        <v>390</v>
      </c>
      <c r="AC14" s="51"/>
      <c r="AD14" s="51"/>
      <c r="AE14" s="53">
        <v>15525</v>
      </c>
      <c r="AF14" s="54">
        <f t="shared" si="2"/>
        <v>776.25</v>
      </c>
      <c r="AG14" s="53">
        <v>0</v>
      </c>
      <c r="AH14" s="53">
        <v>0</v>
      </c>
      <c r="AI14" s="55">
        <f t="shared" si="3"/>
        <v>1293.2325000000001</v>
      </c>
      <c r="AJ14" s="55">
        <f t="shared" si="22"/>
        <v>776.25</v>
      </c>
      <c r="AK14" s="50">
        <f t="shared" si="23"/>
        <v>18370.732499999998</v>
      </c>
      <c r="AL14" s="50">
        <v>1500</v>
      </c>
      <c r="AM14" s="50">
        <v>1950</v>
      </c>
      <c r="AN14" s="50">
        <f t="shared" si="24"/>
        <v>555.01875000000007</v>
      </c>
      <c r="AO14" s="50">
        <v>300</v>
      </c>
      <c r="AP14" s="50">
        <f t="shared" si="25"/>
        <v>1482.3025875000001</v>
      </c>
      <c r="AQ14" s="50">
        <f t="shared" si="26"/>
        <v>24158.053837499996</v>
      </c>
      <c r="AR14" s="52">
        <f t="shared" si="4"/>
        <v>894.74273472222205</v>
      </c>
      <c r="AS14" s="52">
        <f t="shared" si="5"/>
        <v>75.46875</v>
      </c>
      <c r="AT14" s="52">
        <f t="shared" si="6"/>
        <v>83.375988281250002</v>
      </c>
      <c r="AU14" s="50">
        <f t="shared" si="7"/>
        <v>14950</v>
      </c>
      <c r="AV14" s="50">
        <f t="shared" si="8"/>
        <v>747.5</v>
      </c>
      <c r="AW14" s="50">
        <f t="shared" si="9"/>
        <v>0</v>
      </c>
      <c r="AX14" s="50">
        <f t="shared" si="10"/>
        <v>0</v>
      </c>
      <c r="AY14" s="50">
        <f t="shared" si="11"/>
        <v>1245.335</v>
      </c>
      <c r="AZ14" s="50">
        <f t="shared" si="27"/>
        <v>747.5</v>
      </c>
      <c r="BA14" s="56">
        <f t="shared" si="12"/>
        <v>1444</v>
      </c>
      <c r="BB14" s="50">
        <f t="shared" si="13"/>
        <v>0</v>
      </c>
      <c r="BC14" s="50">
        <f t="shared" si="14"/>
        <v>0</v>
      </c>
      <c r="BD14" s="50">
        <f t="shared" si="28"/>
        <v>19134.334999999999</v>
      </c>
      <c r="BE14" s="57">
        <f t="shared" si="15"/>
        <v>1733</v>
      </c>
      <c r="BF14" s="50">
        <f t="shared" si="29"/>
        <v>118</v>
      </c>
      <c r="BG14" s="58">
        <f t="shared" si="30"/>
        <v>200</v>
      </c>
      <c r="BH14" s="55">
        <f t="shared" si="16"/>
        <v>0</v>
      </c>
      <c r="BI14" s="55">
        <f t="shared" si="16"/>
        <v>0</v>
      </c>
      <c r="BJ14" s="55">
        <f t="shared" si="17"/>
        <v>390</v>
      </c>
      <c r="BK14" s="59">
        <v>25</v>
      </c>
      <c r="BL14" s="60">
        <f t="shared" si="18"/>
        <v>2466</v>
      </c>
      <c r="BM14" s="61">
        <f t="shared" si="19"/>
        <v>16668</v>
      </c>
      <c r="BN14" s="57">
        <f t="shared" si="20"/>
        <v>1878</v>
      </c>
      <c r="BO14" s="55">
        <f t="shared" si="31"/>
        <v>510</v>
      </c>
      <c r="BP14" s="55">
        <v>75</v>
      </c>
      <c r="BQ14" s="55">
        <v>300</v>
      </c>
      <c r="BR14" s="55">
        <f t="shared" si="32"/>
        <v>1432</v>
      </c>
      <c r="BS14" s="50">
        <f t="shared" si="21"/>
        <v>23329.334999999999</v>
      </c>
    </row>
    <row r="15" spans="1:73" s="62" customFormat="1" ht="15.75" x14ac:dyDescent="0.25">
      <c r="A15" s="31">
        <v>7</v>
      </c>
      <c r="B15" s="32"/>
      <c r="C15" s="33" t="s">
        <v>136</v>
      </c>
      <c r="D15" s="34" t="s">
        <v>137</v>
      </c>
      <c r="E15" s="35" t="s">
        <v>138</v>
      </c>
      <c r="F15" s="35" t="s">
        <v>78</v>
      </c>
      <c r="G15" s="36" t="s">
        <v>139</v>
      </c>
      <c r="H15" s="37" t="s">
        <v>140</v>
      </c>
      <c r="I15" s="38" t="s">
        <v>81</v>
      </c>
      <c r="J15" s="39">
        <v>920060681542</v>
      </c>
      <c r="K15" s="40" t="s">
        <v>141</v>
      </c>
      <c r="L15" s="41">
        <v>341502010038237</v>
      </c>
      <c r="M15" s="41" t="s">
        <v>142</v>
      </c>
      <c r="N15" s="42" t="s">
        <v>143</v>
      </c>
      <c r="O15" s="43" t="s">
        <v>144</v>
      </c>
      <c r="P15" s="44">
        <v>7507820235</v>
      </c>
      <c r="Q15" s="35"/>
      <c r="R15" s="35" t="s">
        <v>110</v>
      </c>
      <c r="S15" s="45" t="s">
        <v>88</v>
      </c>
      <c r="T15" s="45" t="s">
        <v>89</v>
      </c>
      <c r="U15" s="46" t="s">
        <v>90</v>
      </c>
      <c r="V15" s="65">
        <v>27</v>
      </c>
      <c r="W15" s="48">
        <v>0</v>
      </c>
      <c r="X15" s="48">
        <v>0</v>
      </c>
      <c r="Y15" s="49">
        <f t="shared" si="0"/>
        <v>27</v>
      </c>
      <c r="Z15" s="50"/>
      <c r="AA15" s="51"/>
      <c r="AB15" s="52">
        <f t="shared" si="1"/>
        <v>405</v>
      </c>
      <c r="AC15" s="51"/>
      <c r="AD15" s="51"/>
      <c r="AE15" s="53">
        <v>15525</v>
      </c>
      <c r="AF15" s="54">
        <f t="shared" si="2"/>
        <v>776.25</v>
      </c>
      <c r="AG15" s="53">
        <v>0</v>
      </c>
      <c r="AH15" s="53">
        <v>0</v>
      </c>
      <c r="AI15" s="55">
        <f t="shared" si="3"/>
        <v>1293.2325000000001</v>
      </c>
      <c r="AJ15" s="55">
        <f t="shared" si="22"/>
        <v>776.25</v>
      </c>
      <c r="AK15" s="50">
        <f t="shared" si="23"/>
        <v>18370.732499999998</v>
      </c>
      <c r="AL15" s="50">
        <v>1500</v>
      </c>
      <c r="AM15" s="50">
        <v>1950</v>
      </c>
      <c r="AN15" s="50">
        <f t="shared" si="24"/>
        <v>555.01875000000007</v>
      </c>
      <c r="AO15" s="50">
        <v>300</v>
      </c>
      <c r="AP15" s="50">
        <f t="shared" si="25"/>
        <v>1482.3025875000001</v>
      </c>
      <c r="AQ15" s="50">
        <f t="shared" si="26"/>
        <v>24158.053837499996</v>
      </c>
      <c r="AR15" s="52">
        <f t="shared" si="4"/>
        <v>894.74273472222205</v>
      </c>
      <c r="AS15" s="52">
        <f t="shared" si="5"/>
        <v>75.46875</v>
      </c>
      <c r="AT15" s="52">
        <f t="shared" si="6"/>
        <v>83.375988281250002</v>
      </c>
      <c r="AU15" s="50">
        <f t="shared" si="7"/>
        <v>15525</v>
      </c>
      <c r="AV15" s="50">
        <f t="shared" si="8"/>
        <v>776.25</v>
      </c>
      <c r="AW15" s="50">
        <f t="shared" si="9"/>
        <v>0</v>
      </c>
      <c r="AX15" s="50">
        <f t="shared" si="10"/>
        <v>0</v>
      </c>
      <c r="AY15" s="50">
        <f t="shared" si="11"/>
        <v>1293.2325000000001</v>
      </c>
      <c r="AZ15" s="50">
        <f t="shared" si="27"/>
        <v>776.25</v>
      </c>
      <c r="BA15" s="56">
        <f t="shared" si="12"/>
        <v>1500</v>
      </c>
      <c r="BB15" s="50">
        <f t="shared" si="13"/>
        <v>0</v>
      </c>
      <c r="BC15" s="50">
        <f t="shared" si="14"/>
        <v>0</v>
      </c>
      <c r="BD15" s="50">
        <f t="shared" si="28"/>
        <v>19870.732499999998</v>
      </c>
      <c r="BE15" s="57">
        <f t="shared" si="15"/>
        <v>1800</v>
      </c>
      <c r="BF15" s="50">
        <f t="shared" si="29"/>
        <v>123</v>
      </c>
      <c r="BG15" s="58">
        <f t="shared" si="30"/>
        <v>200</v>
      </c>
      <c r="BH15" s="55">
        <f t="shared" si="16"/>
        <v>0</v>
      </c>
      <c r="BI15" s="55">
        <f t="shared" si="16"/>
        <v>0</v>
      </c>
      <c r="BJ15" s="55">
        <f t="shared" si="17"/>
        <v>405</v>
      </c>
      <c r="BK15" s="59">
        <v>25</v>
      </c>
      <c r="BL15" s="60">
        <f t="shared" si="18"/>
        <v>2553</v>
      </c>
      <c r="BM15" s="61">
        <f t="shared" si="19"/>
        <v>17318</v>
      </c>
      <c r="BN15" s="57">
        <f t="shared" si="20"/>
        <v>1950</v>
      </c>
      <c r="BO15" s="55">
        <f t="shared" si="31"/>
        <v>530</v>
      </c>
      <c r="BP15" s="55">
        <v>75</v>
      </c>
      <c r="BQ15" s="55">
        <v>300</v>
      </c>
      <c r="BR15" s="55">
        <f t="shared" si="32"/>
        <v>1486</v>
      </c>
      <c r="BS15" s="50">
        <f t="shared" si="21"/>
        <v>24211.732499999998</v>
      </c>
    </row>
    <row r="16" spans="1:73" s="62" customFormat="1" ht="15.75" x14ac:dyDescent="0.25">
      <c r="A16" s="31">
        <v>8</v>
      </c>
      <c r="B16" s="32"/>
      <c r="C16" s="33" t="s">
        <v>145</v>
      </c>
      <c r="D16" s="34" t="s">
        <v>146</v>
      </c>
      <c r="E16" s="35" t="s">
        <v>147</v>
      </c>
      <c r="F16" s="35" t="s">
        <v>78</v>
      </c>
      <c r="G16" s="36" t="s">
        <v>148</v>
      </c>
      <c r="H16" s="37" t="s">
        <v>149</v>
      </c>
      <c r="I16" s="38" t="s">
        <v>81</v>
      </c>
      <c r="J16" s="39">
        <v>748942643753</v>
      </c>
      <c r="K16" s="40" t="s">
        <v>96</v>
      </c>
      <c r="L16" s="41" t="s">
        <v>150</v>
      </c>
      <c r="M16" s="41" t="s">
        <v>98</v>
      </c>
      <c r="N16" s="42" t="s">
        <v>151</v>
      </c>
      <c r="O16" s="43" t="s">
        <v>152</v>
      </c>
      <c r="P16" s="44">
        <v>8378816852</v>
      </c>
      <c r="Q16" s="45"/>
      <c r="R16" s="35" t="s">
        <v>153</v>
      </c>
      <c r="S16" s="45" t="s">
        <v>88</v>
      </c>
      <c r="T16" s="45" t="s">
        <v>89</v>
      </c>
      <c r="U16" s="46" t="s">
        <v>90</v>
      </c>
      <c r="V16" s="47">
        <v>25.5</v>
      </c>
      <c r="W16" s="48">
        <v>0</v>
      </c>
      <c r="X16" s="48">
        <v>0</v>
      </c>
      <c r="Y16" s="49">
        <f t="shared" si="0"/>
        <v>25.5</v>
      </c>
      <c r="Z16" s="50"/>
      <c r="AA16" s="51"/>
      <c r="AB16" s="52">
        <f t="shared" si="1"/>
        <v>382.5</v>
      </c>
      <c r="AC16" s="51"/>
      <c r="AD16" s="51"/>
      <c r="AE16" s="53">
        <v>15525</v>
      </c>
      <c r="AF16" s="54">
        <f t="shared" si="2"/>
        <v>776.25</v>
      </c>
      <c r="AG16" s="53">
        <v>0</v>
      </c>
      <c r="AH16" s="53">
        <v>0</v>
      </c>
      <c r="AI16" s="55">
        <f t="shared" si="3"/>
        <v>1293.2325000000001</v>
      </c>
      <c r="AJ16" s="55">
        <f t="shared" si="22"/>
        <v>776.25</v>
      </c>
      <c r="AK16" s="50">
        <f t="shared" si="23"/>
        <v>18370.732499999998</v>
      </c>
      <c r="AL16" s="50">
        <v>1500</v>
      </c>
      <c r="AM16" s="50">
        <v>1950</v>
      </c>
      <c r="AN16" s="50">
        <f t="shared" si="24"/>
        <v>555.01875000000007</v>
      </c>
      <c r="AO16" s="50">
        <v>300</v>
      </c>
      <c r="AP16" s="50">
        <f t="shared" si="25"/>
        <v>1482.3025875000001</v>
      </c>
      <c r="AQ16" s="50">
        <f t="shared" si="26"/>
        <v>24158.053837499996</v>
      </c>
      <c r="AR16" s="52">
        <f t="shared" si="4"/>
        <v>894.74273472222205</v>
      </c>
      <c r="AS16" s="52">
        <f t="shared" si="5"/>
        <v>75.46875</v>
      </c>
      <c r="AT16" s="52">
        <f t="shared" si="6"/>
        <v>83.375988281250002</v>
      </c>
      <c r="AU16" s="50">
        <f t="shared" si="7"/>
        <v>14662.5</v>
      </c>
      <c r="AV16" s="50">
        <f t="shared" si="8"/>
        <v>733.125</v>
      </c>
      <c r="AW16" s="50">
        <f t="shared" si="9"/>
        <v>0</v>
      </c>
      <c r="AX16" s="50">
        <f t="shared" si="10"/>
        <v>0</v>
      </c>
      <c r="AY16" s="50">
        <f t="shared" si="11"/>
        <v>1221.38625</v>
      </c>
      <c r="AZ16" s="50">
        <f t="shared" si="27"/>
        <v>733.125</v>
      </c>
      <c r="BA16" s="56">
        <f t="shared" si="12"/>
        <v>1417</v>
      </c>
      <c r="BB16" s="50">
        <f t="shared" si="13"/>
        <v>0</v>
      </c>
      <c r="BC16" s="50">
        <f t="shared" si="14"/>
        <v>0</v>
      </c>
      <c r="BD16" s="50">
        <f t="shared" si="28"/>
        <v>18767.13625</v>
      </c>
      <c r="BE16" s="57">
        <f t="shared" si="15"/>
        <v>1700</v>
      </c>
      <c r="BF16" s="50">
        <f t="shared" si="29"/>
        <v>116</v>
      </c>
      <c r="BG16" s="58">
        <f t="shared" si="30"/>
        <v>200</v>
      </c>
      <c r="BH16" s="55">
        <f t="shared" si="16"/>
        <v>0</v>
      </c>
      <c r="BI16" s="55">
        <f t="shared" si="16"/>
        <v>0</v>
      </c>
      <c r="BJ16" s="55">
        <f t="shared" si="17"/>
        <v>382.5</v>
      </c>
      <c r="BK16" s="59">
        <v>25</v>
      </c>
      <c r="BL16" s="60">
        <f t="shared" si="18"/>
        <v>2423.5</v>
      </c>
      <c r="BM16" s="61">
        <f t="shared" si="19"/>
        <v>16344</v>
      </c>
      <c r="BN16" s="57">
        <f t="shared" si="20"/>
        <v>1842</v>
      </c>
      <c r="BO16" s="55">
        <f t="shared" si="31"/>
        <v>500</v>
      </c>
      <c r="BP16" s="55">
        <v>75</v>
      </c>
      <c r="BQ16" s="55">
        <v>300</v>
      </c>
      <c r="BR16" s="55">
        <f t="shared" si="32"/>
        <v>1405</v>
      </c>
      <c r="BS16" s="50">
        <f t="shared" si="21"/>
        <v>22889.13625</v>
      </c>
    </row>
    <row r="17" spans="1:71" s="62" customFormat="1" ht="15.75" x14ac:dyDescent="0.25">
      <c r="A17" s="31">
        <v>9</v>
      </c>
      <c r="B17" s="32"/>
      <c r="C17" s="33" t="s">
        <v>154</v>
      </c>
      <c r="D17" s="34" t="s">
        <v>155</v>
      </c>
      <c r="E17" s="35" t="s">
        <v>156</v>
      </c>
      <c r="F17" s="35" t="s">
        <v>78</v>
      </c>
      <c r="G17" s="36" t="s">
        <v>94</v>
      </c>
      <c r="H17" s="37" t="s">
        <v>157</v>
      </c>
      <c r="I17" s="38" t="s">
        <v>81</v>
      </c>
      <c r="J17" s="39">
        <v>721879424703</v>
      </c>
      <c r="K17" s="40" t="s">
        <v>107</v>
      </c>
      <c r="L17" s="41">
        <v>3982508152</v>
      </c>
      <c r="M17" s="41" t="s">
        <v>124</v>
      </c>
      <c r="N17" s="42" t="s">
        <v>158</v>
      </c>
      <c r="O17" s="43" t="s">
        <v>159</v>
      </c>
      <c r="P17" s="44">
        <v>7020396444</v>
      </c>
      <c r="Q17" s="45"/>
      <c r="R17" s="35" t="s">
        <v>135</v>
      </c>
      <c r="S17" s="45" t="s">
        <v>88</v>
      </c>
      <c r="T17" s="45" t="s">
        <v>89</v>
      </c>
      <c r="U17" s="46" t="s">
        <v>90</v>
      </c>
      <c r="V17" s="65">
        <v>27</v>
      </c>
      <c r="W17" s="48">
        <v>0</v>
      </c>
      <c r="X17" s="48">
        <v>0</v>
      </c>
      <c r="Y17" s="49">
        <f>V17+W17+X17</f>
        <v>27</v>
      </c>
      <c r="Z17" s="50"/>
      <c r="AA17" s="51"/>
      <c r="AB17" s="52">
        <f>(V17+W17)*15</f>
        <v>405</v>
      </c>
      <c r="AC17" s="51"/>
      <c r="AD17" s="51"/>
      <c r="AE17" s="53">
        <v>15525</v>
      </c>
      <c r="AF17" s="54">
        <f t="shared" si="2"/>
        <v>776.25</v>
      </c>
      <c r="AG17" s="53">
        <v>0</v>
      </c>
      <c r="AH17" s="53">
        <v>0</v>
      </c>
      <c r="AI17" s="55">
        <f t="shared" si="3"/>
        <v>1293.2325000000001</v>
      </c>
      <c r="AJ17" s="55">
        <f t="shared" si="22"/>
        <v>776.25</v>
      </c>
      <c r="AK17" s="50">
        <f t="shared" si="23"/>
        <v>18370.732499999998</v>
      </c>
      <c r="AL17" s="50">
        <v>1500</v>
      </c>
      <c r="AM17" s="50">
        <v>1950</v>
      </c>
      <c r="AN17" s="50">
        <f t="shared" si="24"/>
        <v>555.01875000000007</v>
      </c>
      <c r="AO17" s="50">
        <v>300</v>
      </c>
      <c r="AP17" s="50">
        <f t="shared" si="25"/>
        <v>1482.3025875000001</v>
      </c>
      <c r="AQ17" s="50">
        <f t="shared" si="26"/>
        <v>24158.053837499996</v>
      </c>
      <c r="AR17" s="52">
        <f t="shared" si="4"/>
        <v>894.74273472222205</v>
      </c>
      <c r="AS17" s="52">
        <f t="shared" si="5"/>
        <v>75.46875</v>
      </c>
      <c r="AT17" s="52">
        <f t="shared" si="6"/>
        <v>83.375988281250002</v>
      </c>
      <c r="AU17" s="50">
        <f t="shared" si="7"/>
        <v>15525</v>
      </c>
      <c r="AV17" s="50">
        <f t="shared" si="8"/>
        <v>776.25</v>
      </c>
      <c r="AW17" s="50">
        <f t="shared" si="9"/>
        <v>0</v>
      </c>
      <c r="AX17" s="50">
        <f t="shared" si="10"/>
        <v>0</v>
      </c>
      <c r="AY17" s="50">
        <f t="shared" si="11"/>
        <v>1293.2325000000001</v>
      </c>
      <c r="AZ17" s="50">
        <f t="shared" si="27"/>
        <v>776.25</v>
      </c>
      <c r="BA17" s="56">
        <f t="shared" si="12"/>
        <v>1500</v>
      </c>
      <c r="BB17" s="50">
        <f t="shared" si="13"/>
        <v>0</v>
      </c>
      <c r="BC17" s="50">
        <f t="shared" si="14"/>
        <v>0</v>
      </c>
      <c r="BD17" s="50">
        <f t="shared" si="28"/>
        <v>19870.732499999998</v>
      </c>
      <c r="BE17" s="57">
        <f t="shared" si="15"/>
        <v>1800</v>
      </c>
      <c r="BF17" s="50">
        <f t="shared" si="29"/>
        <v>123</v>
      </c>
      <c r="BG17" s="58">
        <f t="shared" si="30"/>
        <v>200</v>
      </c>
      <c r="BH17" s="55">
        <f t="shared" si="16"/>
        <v>0</v>
      </c>
      <c r="BI17" s="55">
        <f t="shared" si="16"/>
        <v>0</v>
      </c>
      <c r="BJ17" s="55">
        <f t="shared" si="17"/>
        <v>405</v>
      </c>
      <c r="BK17" s="59">
        <v>25</v>
      </c>
      <c r="BL17" s="60">
        <f t="shared" si="18"/>
        <v>2553</v>
      </c>
      <c r="BM17" s="61">
        <f t="shared" si="19"/>
        <v>17318</v>
      </c>
      <c r="BN17" s="57">
        <f t="shared" si="20"/>
        <v>1950</v>
      </c>
      <c r="BO17" s="55">
        <f t="shared" si="31"/>
        <v>530</v>
      </c>
      <c r="BP17" s="55">
        <v>75</v>
      </c>
      <c r="BQ17" s="55">
        <v>300</v>
      </c>
      <c r="BR17" s="55">
        <f t="shared" si="32"/>
        <v>1486</v>
      </c>
      <c r="BS17" s="50">
        <f t="shared" si="21"/>
        <v>24211.732499999998</v>
      </c>
    </row>
    <row r="18" spans="1:71" s="62" customFormat="1" ht="15.75" x14ac:dyDescent="0.25">
      <c r="A18" s="31">
        <v>10</v>
      </c>
      <c r="B18" s="32"/>
      <c r="C18" s="33" t="s">
        <v>160</v>
      </c>
      <c r="D18" s="34" t="s">
        <v>161</v>
      </c>
      <c r="E18" s="35" t="s">
        <v>162</v>
      </c>
      <c r="F18" s="35" t="s">
        <v>78</v>
      </c>
      <c r="G18" s="36" t="s">
        <v>163</v>
      </c>
      <c r="H18" s="37" t="s">
        <v>164</v>
      </c>
      <c r="I18" s="38" t="s">
        <v>81</v>
      </c>
      <c r="J18" s="39">
        <v>444847539333</v>
      </c>
      <c r="K18" s="40" t="s">
        <v>96</v>
      </c>
      <c r="L18" s="41" t="s">
        <v>165</v>
      </c>
      <c r="M18" s="41" t="s">
        <v>98</v>
      </c>
      <c r="N18" s="42" t="s">
        <v>166</v>
      </c>
      <c r="O18" s="43" t="s">
        <v>167</v>
      </c>
      <c r="P18" s="44">
        <v>9359567213</v>
      </c>
      <c r="Q18" s="45"/>
      <c r="R18" s="35" t="s">
        <v>110</v>
      </c>
      <c r="S18" s="45" t="s">
        <v>88</v>
      </c>
      <c r="T18" s="45" t="s">
        <v>89</v>
      </c>
      <c r="U18" s="46" t="s">
        <v>90</v>
      </c>
      <c r="V18" s="65">
        <v>27</v>
      </c>
      <c r="W18" s="48">
        <v>0</v>
      </c>
      <c r="X18" s="48">
        <v>0</v>
      </c>
      <c r="Y18" s="49">
        <f t="shared" si="0"/>
        <v>27</v>
      </c>
      <c r="Z18" s="50"/>
      <c r="AA18" s="51"/>
      <c r="AB18" s="52">
        <f t="shared" si="1"/>
        <v>405</v>
      </c>
      <c r="AC18" s="51"/>
      <c r="AD18" s="51"/>
      <c r="AE18" s="53">
        <v>15525</v>
      </c>
      <c r="AF18" s="54">
        <f t="shared" si="2"/>
        <v>776.25</v>
      </c>
      <c r="AG18" s="53">
        <v>0</v>
      </c>
      <c r="AH18" s="53">
        <v>0</v>
      </c>
      <c r="AI18" s="55">
        <f t="shared" si="3"/>
        <v>1293.2325000000001</v>
      </c>
      <c r="AJ18" s="55">
        <f t="shared" si="22"/>
        <v>776.25</v>
      </c>
      <c r="AK18" s="50">
        <f t="shared" si="23"/>
        <v>18370.732499999998</v>
      </c>
      <c r="AL18" s="50">
        <v>1500</v>
      </c>
      <c r="AM18" s="50">
        <v>1950</v>
      </c>
      <c r="AN18" s="50">
        <f t="shared" si="24"/>
        <v>555.01875000000007</v>
      </c>
      <c r="AO18" s="50">
        <v>300</v>
      </c>
      <c r="AP18" s="50">
        <f t="shared" si="25"/>
        <v>1482.3025875000001</v>
      </c>
      <c r="AQ18" s="50">
        <f t="shared" si="26"/>
        <v>24158.053837499996</v>
      </c>
      <c r="AR18" s="52">
        <f t="shared" si="4"/>
        <v>894.74273472222205</v>
      </c>
      <c r="AS18" s="52">
        <f t="shared" si="5"/>
        <v>75.46875</v>
      </c>
      <c r="AT18" s="52">
        <f t="shared" si="6"/>
        <v>83.375988281250002</v>
      </c>
      <c r="AU18" s="50">
        <f t="shared" si="7"/>
        <v>15525</v>
      </c>
      <c r="AV18" s="50">
        <f t="shared" si="8"/>
        <v>776.25</v>
      </c>
      <c r="AW18" s="50">
        <f t="shared" si="9"/>
        <v>0</v>
      </c>
      <c r="AX18" s="50">
        <f t="shared" si="10"/>
        <v>0</v>
      </c>
      <c r="AY18" s="50">
        <f t="shared" si="11"/>
        <v>1293.2325000000001</v>
      </c>
      <c r="AZ18" s="50">
        <f t="shared" si="27"/>
        <v>776.25</v>
      </c>
      <c r="BA18" s="56">
        <f t="shared" si="12"/>
        <v>1500</v>
      </c>
      <c r="BB18" s="50">
        <f t="shared" si="13"/>
        <v>0</v>
      </c>
      <c r="BC18" s="50">
        <f t="shared" si="14"/>
        <v>0</v>
      </c>
      <c r="BD18" s="50">
        <f t="shared" si="28"/>
        <v>19870.732499999998</v>
      </c>
      <c r="BE18" s="57">
        <f t="shared" si="15"/>
        <v>1800</v>
      </c>
      <c r="BF18" s="50">
        <f t="shared" si="29"/>
        <v>123</v>
      </c>
      <c r="BG18" s="58">
        <f t="shared" si="30"/>
        <v>200</v>
      </c>
      <c r="BH18" s="55">
        <f t="shared" si="16"/>
        <v>0</v>
      </c>
      <c r="BI18" s="55">
        <f t="shared" si="16"/>
        <v>0</v>
      </c>
      <c r="BJ18" s="55">
        <f t="shared" si="17"/>
        <v>405</v>
      </c>
      <c r="BK18" s="59">
        <v>25</v>
      </c>
      <c r="BL18" s="60">
        <f t="shared" si="18"/>
        <v>2553</v>
      </c>
      <c r="BM18" s="61">
        <f t="shared" si="19"/>
        <v>17318</v>
      </c>
      <c r="BN18" s="57">
        <f t="shared" si="20"/>
        <v>1950</v>
      </c>
      <c r="BO18" s="55">
        <f t="shared" si="31"/>
        <v>530</v>
      </c>
      <c r="BP18" s="55">
        <v>75</v>
      </c>
      <c r="BQ18" s="55">
        <v>300</v>
      </c>
      <c r="BR18" s="55">
        <f t="shared" si="32"/>
        <v>1486</v>
      </c>
      <c r="BS18" s="50">
        <f t="shared" si="21"/>
        <v>24211.732499999998</v>
      </c>
    </row>
    <row r="19" spans="1:71" s="62" customFormat="1" ht="15.75" x14ac:dyDescent="0.25">
      <c r="A19" s="31">
        <v>11</v>
      </c>
      <c r="B19" s="32"/>
      <c r="C19" s="33" t="s">
        <v>168</v>
      </c>
      <c r="D19" s="34" t="s">
        <v>169</v>
      </c>
      <c r="E19" s="35" t="s">
        <v>170</v>
      </c>
      <c r="F19" s="35" t="s">
        <v>78</v>
      </c>
      <c r="G19" s="36" t="s">
        <v>114</v>
      </c>
      <c r="H19" s="37" t="s">
        <v>171</v>
      </c>
      <c r="I19" s="38" t="s">
        <v>81</v>
      </c>
      <c r="J19" s="39">
        <v>905618105821</v>
      </c>
      <c r="K19" s="40" t="s">
        <v>141</v>
      </c>
      <c r="L19" s="41" t="s">
        <v>172</v>
      </c>
      <c r="M19" s="41" t="s">
        <v>173</v>
      </c>
      <c r="N19" s="42" t="s">
        <v>174</v>
      </c>
      <c r="O19" s="43" t="s">
        <v>175</v>
      </c>
      <c r="P19" s="44">
        <v>9637919460</v>
      </c>
      <c r="Q19" s="45"/>
      <c r="R19" s="35" t="s">
        <v>135</v>
      </c>
      <c r="S19" s="45" t="s">
        <v>88</v>
      </c>
      <c r="T19" s="45" t="s">
        <v>89</v>
      </c>
      <c r="U19" s="46" t="s">
        <v>90</v>
      </c>
      <c r="V19" s="65">
        <v>25.5</v>
      </c>
      <c r="W19" s="48">
        <v>0</v>
      </c>
      <c r="X19" s="48">
        <v>0</v>
      </c>
      <c r="Y19" s="49">
        <f t="shared" si="0"/>
        <v>25.5</v>
      </c>
      <c r="Z19" s="50"/>
      <c r="AA19" s="51"/>
      <c r="AB19" s="52">
        <f t="shared" si="1"/>
        <v>382.5</v>
      </c>
      <c r="AC19" s="51"/>
      <c r="AD19" s="51"/>
      <c r="AE19" s="53">
        <v>15525</v>
      </c>
      <c r="AF19" s="54">
        <f t="shared" si="2"/>
        <v>776.25</v>
      </c>
      <c r="AG19" s="53">
        <v>0</v>
      </c>
      <c r="AH19" s="53">
        <v>0</v>
      </c>
      <c r="AI19" s="55">
        <f t="shared" si="3"/>
        <v>1293.2325000000001</v>
      </c>
      <c r="AJ19" s="55">
        <f t="shared" si="22"/>
        <v>776.25</v>
      </c>
      <c r="AK19" s="50">
        <f t="shared" si="23"/>
        <v>18370.732499999998</v>
      </c>
      <c r="AL19" s="50">
        <v>1500</v>
      </c>
      <c r="AM19" s="50">
        <v>1950</v>
      </c>
      <c r="AN19" s="50">
        <f t="shared" si="24"/>
        <v>555.01875000000007</v>
      </c>
      <c r="AO19" s="50">
        <v>300</v>
      </c>
      <c r="AP19" s="50">
        <f t="shared" si="25"/>
        <v>1482.3025875000001</v>
      </c>
      <c r="AQ19" s="50">
        <f t="shared" si="26"/>
        <v>24158.053837499996</v>
      </c>
      <c r="AR19" s="52">
        <f t="shared" si="4"/>
        <v>894.74273472222205</v>
      </c>
      <c r="AS19" s="52">
        <f t="shared" si="5"/>
        <v>75.46875</v>
      </c>
      <c r="AT19" s="52">
        <f t="shared" si="6"/>
        <v>83.375988281250002</v>
      </c>
      <c r="AU19" s="50">
        <f t="shared" si="7"/>
        <v>14662.5</v>
      </c>
      <c r="AV19" s="50">
        <f t="shared" si="8"/>
        <v>733.125</v>
      </c>
      <c r="AW19" s="50">
        <f t="shared" si="9"/>
        <v>0</v>
      </c>
      <c r="AX19" s="50">
        <f t="shared" si="10"/>
        <v>0</v>
      </c>
      <c r="AY19" s="50">
        <f t="shared" si="11"/>
        <v>1221.38625</v>
      </c>
      <c r="AZ19" s="50">
        <f t="shared" si="27"/>
        <v>733.125</v>
      </c>
      <c r="BA19" s="56">
        <f t="shared" si="12"/>
        <v>1417</v>
      </c>
      <c r="BB19" s="50">
        <f t="shared" si="13"/>
        <v>0</v>
      </c>
      <c r="BC19" s="50">
        <f t="shared" si="14"/>
        <v>0</v>
      </c>
      <c r="BD19" s="50">
        <f t="shared" si="28"/>
        <v>18767.13625</v>
      </c>
      <c r="BE19" s="57">
        <f t="shared" si="15"/>
        <v>1700</v>
      </c>
      <c r="BF19" s="50">
        <f t="shared" si="29"/>
        <v>116</v>
      </c>
      <c r="BG19" s="58">
        <f t="shared" si="30"/>
        <v>200</v>
      </c>
      <c r="BH19" s="55">
        <f t="shared" si="16"/>
        <v>0</v>
      </c>
      <c r="BI19" s="55">
        <f t="shared" si="16"/>
        <v>0</v>
      </c>
      <c r="BJ19" s="55">
        <f t="shared" si="17"/>
        <v>382.5</v>
      </c>
      <c r="BK19" s="59">
        <v>25</v>
      </c>
      <c r="BL19" s="60">
        <f t="shared" si="18"/>
        <v>2423.5</v>
      </c>
      <c r="BM19" s="61">
        <f t="shared" si="19"/>
        <v>16344</v>
      </c>
      <c r="BN19" s="57">
        <f t="shared" si="20"/>
        <v>1842</v>
      </c>
      <c r="BO19" s="55">
        <f t="shared" si="31"/>
        <v>500</v>
      </c>
      <c r="BP19" s="55">
        <v>75</v>
      </c>
      <c r="BQ19" s="55">
        <v>300</v>
      </c>
      <c r="BR19" s="55">
        <f t="shared" si="32"/>
        <v>1405</v>
      </c>
      <c r="BS19" s="50">
        <f t="shared" si="21"/>
        <v>22889.13625</v>
      </c>
    </row>
    <row r="20" spans="1:71" s="62" customFormat="1" ht="15.75" x14ac:dyDescent="0.25">
      <c r="A20" s="31">
        <v>12</v>
      </c>
      <c r="B20" s="32"/>
      <c r="C20" s="33" t="s">
        <v>176</v>
      </c>
      <c r="D20" s="34" t="s">
        <v>177</v>
      </c>
      <c r="E20" s="35" t="s">
        <v>178</v>
      </c>
      <c r="F20" s="35" t="s">
        <v>78</v>
      </c>
      <c r="G20" s="36" t="s">
        <v>94</v>
      </c>
      <c r="H20" s="37" t="s">
        <v>179</v>
      </c>
      <c r="I20" s="38" t="s">
        <v>81</v>
      </c>
      <c r="J20" s="39">
        <v>846741519943</v>
      </c>
      <c r="K20" s="40" t="s">
        <v>107</v>
      </c>
      <c r="L20" s="41">
        <v>5273211345</v>
      </c>
      <c r="M20" s="41" t="s">
        <v>124</v>
      </c>
      <c r="N20" s="42" t="s">
        <v>180</v>
      </c>
      <c r="O20" s="43" t="s">
        <v>181</v>
      </c>
      <c r="P20" s="44">
        <v>9322351958</v>
      </c>
      <c r="Q20" s="45"/>
      <c r="R20" s="35" t="s">
        <v>182</v>
      </c>
      <c r="S20" s="45" t="s">
        <v>88</v>
      </c>
      <c r="T20" s="45" t="s">
        <v>89</v>
      </c>
      <c r="U20" s="46" t="s">
        <v>90</v>
      </c>
      <c r="V20" s="65">
        <v>25</v>
      </c>
      <c r="W20" s="48">
        <v>0</v>
      </c>
      <c r="X20" s="48">
        <v>0</v>
      </c>
      <c r="Y20" s="49">
        <f t="shared" si="0"/>
        <v>25</v>
      </c>
      <c r="Z20" s="50"/>
      <c r="AA20" s="51"/>
      <c r="AB20" s="52">
        <f t="shared" si="1"/>
        <v>375</v>
      </c>
      <c r="AC20" s="51"/>
      <c r="AD20" s="51"/>
      <c r="AE20" s="53">
        <v>15525</v>
      </c>
      <c r="AF20" s="54">
        <f t="shared" si="2"/>
        <v>776.25</v>
      </c>
      <c r="AG20" s="53">
        <v>0</v>
      </c>
      <c r="AH20" s="53">
        <v>0</v>
      </c>
      <c r="AI20" s="55">
        <f t="shared" si="3"/>
        <v>1293.2325000000001</v>
      </c>
      <c r="AJ20" s="55">
        <f t="shared" si="22"/>
        <v>776.25</v>
      </c>
      <c r="AK20" s="50">
        <f t="shared" si="23"/>
        <v>18370.732499999998</v>
      </c>
      <c r="AL20" s="50">
        <v>1500</v>
      </c>
      <c r="AM20" s="50">
        <v>1950</v>
      </c>
      <c r="AN20" s="50">
        <f t="shared" si="24"/>
        <v>555.01875000000007</v>
      </c>
      <c r="AO20" s="50">
        <v>300</v>
      </c>
      <c r="AP20" s="50">
        <f t="shared" si="25"/>
        <v>1482.3025875000001</v>
      </c>
      <c r="AQ20" s="50">
        <f t="shared" si="26"/>
        <v>24158.053837499996</v>
      </c>
      <c r="AR20" s="52">
        <f t="shared" si="4"/>
        <v>894.74273472222205</v>
      </c>
      <c r="AS20" s="52">
        <f t="shared" si="5"/>
        <v>75.46875</v>
      </c>
      <c r="AT20" s="52">
        <f t="shared" si="6"/>
        <v>83.375988281250002</v>
      </c>
      <c r="AU20" s="50">
        <f t="shared" si="7"/>
        <v>14375</v>
      </c>
      <c r="AV20" s="50">
        <f t="shared" si="8"/>
        <v>718.75</v>
      </c>
      <c r="AW20" s="50">
        <f t="shared" si="9"/>
        <v>0</v>
      </c>
      <c r="AX20" s="50">
        <f t="shared" si="10"/>
        <v>0</v>
      </c>
      <c r="AY20" s="50">
        <f t="shared" si="11"/>
        <v>1197.4375</v>
      </c>
      <c r="AZ20" s="50">
        <f t="shared" si="27"/>
        <v>718.75</v>
      </c>
      <c r="BA20" s="56">
        <f t="shared" si="12"/>
        <v>1389</v>
      </c>
      <c r="BB20" s="50">
        <f t="shared" si="13"/>
        <v>0</v>
      </c>
      <c r="BC20" s="50">
        <f t="shared" si="14"/>
        <v>0</v>
      </c>
      <c r="BD20" s="50">
        <f t="shared" si="28"/>
        <v>18398.9375</v>
      </c>
      <c r="BE20" s="57">
        <f t="shared" si="15"/>
        <v>1667</v>
      </c>
      <c r="BF20" s="50">
        <f t="shared" si="29"/>
        <v>114</v>
      </c>
      <c r="BG20" s="58">
        <f t="shared" si="30"/>
        <v>200</v>
      </c>
      <c r="BH20" s="55">
        <f t="shared" si="16"/>
        <v>0</v>
      </c>
      <c r="BI20" s="55">
        <f t="shared" si="16"/>
        <v>0</v>
      </c>
      <c r="BJ20" s="55">
        <f t="shared" si="17"/>
        <v>375</v>
      </c>
      <c r="BK20" s="59">
        <v>25</v>
      </c>
      <c r="BL20" s="60">
        <f t="shared" si="18"/>
        <v>2381</v>
      </c>
      <c r="BM20" s="61">
        <f t="shared" si="19"/>
        <v>16018</v>
      </c>
      <c r="BN20" s="57">
        <f t="shared" si="20"/>
        <v>1806</v>
      </c>
      <c r="BO20" s="55">
        <f t="shared" si="31"/>
        <v>491</v>
      </c>
      <c r="BP20" s="55">
        <v>75</v>
      </c>
      <c r="BQ20" s="55">
        <v>300</v>
      </c>
      <c r="BR20" s="55">
        <f t="shared" si="32"/>
        <v>1378</v>
      </c>
      <c r="BS20" s="50">
        <f t="shared" si="21"/>
        <v>22448.9375</v>
      </c>
    </row>
    <row r="21" spans="1:71" s="62" customFormat="1" ht="15.75" x14ac:dyDescent="0.25">
      <c r="A21" s="31">
        <v>13</v>
      </c>
      <c r="B21" s="32"/>
      <c r="C21" s="33" t="s">
        <v>183</v>
      </c>
      <c r="D21" s="34" t="s">
        <v>184</v>
      </c>
      <c r="E21" s="35" t="s">
        <v>185</v>
      </c>
      <c r="F21" s="35" t="s">
        <v>78</v>
      </c>
      <c r="G21" s="36" t="s">
        <v>148</v>
      </c>
      <c r="H21" s="37" t="s">
        <v>186</v>
      </c>
      <c r="I21" s="38" t="s">
        <v>81</v>
      </c>
      <c r="J21" s="39">
        <v>730448069605</v>
      </c>
      <c r="K21" s="40" t="s">
        <v>96</v>
      </c>
      <c r="L21" s="41">
        <v>33949298720</v>
      </c>
      <c r="M21" s="41" t="s">
        <v>98</v>
      </c>
      <c r="N21" s="42" t="s">
        <v>187</v>
      </c>
      <c r="O21" s="43" t="s">
        <v>188</v>
      </c>
      <c r="P21" s="44">
        <v>7038914671</v>
      </c>
      <c r="Q21" s="35"/>
      <c r="R21" s="35" t="s">
        <v>189</v>
      </c>
      <c r="S21" s="45" t="s">
        <v>88</v>
      </c>
      <c r="T21" s="45" t="s">
        <v>89</v>
      </c>
      <c r="U21" s="46" t="s">
        <v>90</v>
      </c>
      <c r="V21" s="47">
        <v>27</v>
      </c>
      <c r="W21" s="48">
        <v>0</v>
      </c>
      <c r="X21" s="48">
        <v>0</v>
      </c>
      <c r="Y21" s="49">
        <f t="shared" si="0"/>
        <v>27</v>
      </c>
      <c r="Z21" s="50"/>
      <c r="AA21" s="51"/>
      <c r="AB21" s="52">
        <f t="shared" si="1"/>
        <v>405</v>
      </c>
      <c r="AC21" s="51"/>
      <c r="AD21" s="51"/>
      <c r="AE21" s="53">
        <v>15525</v>
      </c>
      <c r="AF21" s="54">
        <f t="shared" si="2"/>
        <v>776.25</v>
      </c>
      <c r="AG21" s="53">
        <v>0</v>
      </c>
      <c r="AH21" s="53">
        <v>0</v>
      </c>
      <c r="AI21" s="55">
        <f t="shared" si="3"/>
        <v>1293.2325000000001</v>
      </c>
      <c r="AJ21" s="55">
        <f t="shared" si="22"/>
        <v>776.25</v>
      </c>
      <c r="AK21" s="50">
        <f t="shared" si="23"/>
        <v>18370.732499999998</v>
      </c>
      <c r="AL21" s="50">
        <v>1500</v>
      </c>
      <c r="AM21" s="50">
        <v>1950</v>
      </c>
      <c r="AN21" s="50">
        <f t="shared" si="24"/>
        <v>555.01875000000007</v>
      </c>
      <c r="AO21" s="50">
        <v>300</v>
      </c>
      <c r="AP21" s="50">
        <f t="shared" si="25"/>
        <v>1482.3025875000001</v>
      </c>
      <c r="AQ21" s="50">
        <f t="shared" si="26"/>
        <v>24158.053837499996</v>
      </c>
      <c r="AR21" s="52">
        <f t="shared" si="4"/>
        <v>894.74273472222205</v>
      </c>
      <c r="AS21" s="52">
        <f t="shared" si="5"/>
        <v>75.46875</v>
      </c>
      <c r="AT21" s="52">
        <f t="shared" si="6"/>
        <v>83.375988281250002</v>
      </c>
      <c r="AU21" s="50">
        <f t="shared" si="7"/>
        <v>15525</v>
      </c>
      <c r="AV21" s="50">
        <f t="shared" si="8"/>
        <v>776.25</v>
      </c>
      <c r="AW21" s="50">
        <f t="shared" si="9"/>
        <v>0</v>
      </c>
      <c r="AX21" s="50">
        <f t="shared" si="10"/>
        <v>0</v>
      </c>
      <c r="AY21" s="50">
        <f t="shared" si="11"/>
        <v>1293.2325000000001</v>
      </c>
      <c r="AZ21" s="50">
        <f t="shared" si="27"/>
        <v>776.25</v>
      </c>
      <c r="BA21" s="56">
        <f t="shared" si="12"/>
        <v>1500</v>
      </c>
      <c r="BB21" s="50">
        <f t="shared" si="13"/>
        <v>0</v>
      </c>
      <c r="BC21" s="50">
        <f t="shared" si="14"/>
        <v>0</v>
      </c>
      <c r="BD21" s="50">
        <f t="shared" si="28"/>
        <v>19870.732499999998</v>
      </c>
      <c r="BE21" s="57">
        <f t="shared" si="15"/>
        <v>1800</v>
      </c>
      <c r="BF21" s="50">
        <f t="shared" si="29"/>
        <v>123</v>
      </c>
      <c r="BG21" s="58">
        <f t="shared" si="30"/>
        <v>200</v>
      </c>
      <c r="BH21" s="55">
        <f t="shared" si="16"/>
        <v>0</v>
      </c>
      <c r="BI21" s="55">
        <f t="shared" si="16"/>
        <v>0</v>
      </c>
      <c r="BJ21" s="55">
        <f t="shared" si="17"/>
        <v>405</v>
      </c>
      <c r="BK21" s="59">
        <v>25</v>
      </c>
      <c r="BL21" s="60">
        <f t="shared" si="18"/>
        <v>2553</v>
      </c>
      <c r="BM21" s="61">
        <f t="shared" si="19"/>
        <v>17318</v>
      </c>
      <c r="BN21" s="57">
        <f t="shared" si="20"/>
        <v>1950</v>
      </c>
      <c r="BO21" s="55">
        <f t="shared" si="31"/>
        <v>530</v>
      </c>
      <c r="BP21" s="55">
        <v>75</v>
      </c>
      <c r="BQ21" s="55">
        <v>300</v>
      </c>
      <c r="BR21" s="55">
        <f t="shared" si="32"/>
        <v>1486</v>
      </c>
      <c r="BS21" s="50">
        <f t="shared" si="21"/>
        <v>24211.732499999998</v>
      </c>
    </row>
    <row r="22" spans="1:71" s="62" customFormat="1" ht="15.75" x14ac:dyDescent="0.25">
      <c r="A22" s="31">
        <v>14</v>
      </c>
      <c r="B22" s="32"/>
      <c r="C22" s="33" t="s">
        <v>190</v>
      </c>
      <c r="D22" s="34" t="s">
        <v>191</v>
      </c>
      <c r="E22" s="35" t="s">
        <v>192</v>
      </c>
      <c r="F22" s="35" t="s">
        <v>78</v>
      </c>
      <c r="G22" s="36" t="s">
        <v>148</v>
      </c>
      <c r="H22" s="37" t="s">
        <v>193</v>
      </c>
      <c r="I22" s="38" t="s">
        <v>81</v>
      </c>
      <c r="J22" s="39">
        <v>774009257913</v>
      </c>
      <c r="K22" s="40" t="s">
        <v>96</v>
      </c>
      <c r="L22" s="41">
        <v>33391488393</v>
      </c>
      <c r="M22" s="41" t="s">
        <v>98</v>
      </c>
      <c r="N22" s="42" t="s">
        <v>194</v>
      </c>
      <c r="O22" s="43">
        <v>2504926170</v>
      </c>
      <c r="P22" s="44">
        <v>8975415067</v>
      </c>
      <c r="Q22" s="45"/>
      <c r="R22" s="35" t="s">
        <v>195</v>
      </c>
      <c r="S22" s="45" t="s">
        <v>88</v>
      </c>
      <c r="T22" s="45" t="s">
        <v>89</v>
      </c>
      <c r="U22" s="46" t="s">
        <v>90</v>
      </c>
      <c r="V22" s="47">
        <v>27</v>
      </c>
      <c r="W22" s="48">
        <v>0</v>
      </c>
      <c r="X22" s="48">
        <v>0</v>
      </c>
      <c r="Y22" s="49">
        <f t="shared" si="0"/>
        <v>27</v>
      </c>
      <c r="Z22" s="50"/>
      <c r="AA22" s="51"/>
      <c r="AB22" s="52">
        <f t="shared" si="1"/>
        <v>405</v>
      </c>
      <c r="AC22" s="51"/>
      <c r="AD22" s="51"/>
      <c r="AE22" s="53">
        <v>15525</v>
      </c>
      <c r="AF22" s="54">
        <f t="shared" si="2"/>
        <v>776.25</v>
      </c>
      <c r="AG22" s="53">
        <v>0</v>
      </c>
      <c r="AH22" s="53">
        <v>0</v>
      </c>
      <c r="AI22" s="55">
        <f t="shared" si="3"/>
        <v>1293.2325000000001</v>
      </c>
      <c r="AJ22" s="55">
        <f t="shared" si="22"/>
        <v>776.25</v>
      </c>
      <c r="AK22" s="50">
        <f t="shared" si="23"/>
        <v>18370.732499999998</v>
      </c>
      <c r="AL22" s="50">
        <v>1500</v>
      </c>
      <c r="AM22" s="50">
        <v>1950</v>
      </c>
      <c r="AN22" s="50">
        <f t="shared" si="24"/>
        <v>555.01875000000007</v>
      </c>
      <c r="AO22" s="50">
        <v>300</v>
      </c>
      <c r="AP22" s="50">
        <f t="shared" si="25"/>
        <v>1482.3025875000001</v>
      </c>
      <c r="AQ22" s="50">
        <f t="shared" si="26"/>
        <v>24158.053837499996</v>
      </c>
      <c r="AR22" s="52">
        <f t="shared" si="4"/>
        <v>894.74273472222205</v>
      </c>
      <c r="AS22" s="52">
        <f t="shared" si="5"/>
        <v>75.46875</v>
      </c>
      <c r="AT22" s="52">
        <f t="shared" si="6"/>
        <v>83.375988281250002</v>
      </c>
      <c r="AU22" s="50">
        <f t="shared" si="7"/>
        <v>15525</v>
      </c>
      <c r="AV22" s="50">
        <f t="shared" si="8"/>
        <v>776.25</v>
      </c>
      <c r="AW22" s="50">
        <f t="shared" si="9"/>
        <v>0</v>
      </c>
      <c r="AX22" s="50">
        <f t="shared" si="10"/>
        <v>0</v>
      </c>
      <c r="AY22" s="50">
        <f t="shared" si="11"/>
        <v>1293.2325000000001</v>
      </c>
      <c r="AZ22" s="50">
        <f t="shared" si="27"/>
        <v>776.25</v>
      </c>
      <c r="BA22" s="56">
        <f t="shared" si="12"/>
        <v>1500</v>
      </c>
      <c r="BB22" s="50">
        <f t="shared" si="13"/>
        <v>0</v>
      </c>
      <c r="BC22" s="50">
        <f t="shared" si="14"/>
        <v>0</v>
      </c>
      <c r="BD22" s="50">
        <f t="shared" si="28"/>
        <v>19870.732499999998</v>
      </c>
      <c r="BE22" s="57">
        <f t="shared" si="15"/>
        <v>1800</v>
      </c>
      <c r="BF22" s="50">
        <f t="shared" si="29"/>
        <v>123</v>
      </c>
      <c r="BG22" s="58">
        <f t="shared" si="30"/>
        <v>200</v>
      </c>
      <c r="BH22" s="55">
        <f t="shared" si="16"/>
        <v>0</v>
      </c>
      <c r="BI22" s="55">
        <f t="shared" si="16"/>
        <v>0</v>
      </c>
      <c r="BJ22" s="55">
        <f t="shared" si="17"/>
        <v>405</v>
      </c>
      <c r="BK22" s="59">
        <v>25</v>
      </c>
      <c r="BL22" s="60">
        <f t="shared" si="18"/>
        <v>2553</v>
      </c>
      <c r="BM22" s="61">
        <f t="shared" si="19"/>
        <v>17318</v>
      </c>
      <c r="BN22" s="57">
        <f t="shared" si="20"/>
        <v>1950</v>
      </c>
      <c r="BO22" s="55">
        <f t="shared" si="31"/>
        <v>530</v>
      </c>
      <c r="BP22" s="55">
        <v>75</v>
      </c>
      <c r="BQ22" s="55">
        <v>300</v>
      </c>
      <c r="BR22" s="55">
        <f t="shared" si="32"/>
        <v>1486</v>
      </c>
      <c r="BS22" s="50">
        <f t="shared" si="21"/>
        <v>24211.732499999998</v>
      </c>
    </row>
    <row r="23" spans="1:71" s="62" customFormat="1" ht="15.75" x14ac:dyDescent="0.25">
      <c r="A23" s="31">
        <v>15</v>
      </c>
      <c r="B23" s="32"/>
      <c r="C23" s="33" t="s">
        <v>196</v>
      </c>
      <c r="D23" s="34" t="s">
        <v>197</v>
      </c>
      <c r="E23" s="35" t="s">
        <v>198</v>
      </c>
      <c r="F23" s="35" t="s">
        <v>78</v>
      </c>
      <c r="G23" s="36" t="s">
        <v>199</v>
      </c>
      <c r="H23" s="37" t="s">
        <v>200</v>
      </c>
      <c r="I23" s="38" t="s">
        <v>81</v>
      </c>
      <c r="J23" s="39">
        <v>464525459469</v>
      </c>
      <c r="K23" s="40" t="s">
        <v>141</v>
      </c>
      <c r="L23" s="41" t="s">
        <v>201</v>
      </c>
      <c r="M23" s="41" t="s">
        <v>173</v>
      </c>
      <c r="N23" s="42" t="s">
        <v>202</v>
      </c>
      <c r="O23" s="43" t="s">
        <v>203</v>
      </c>
      <c r="P23" s="44">
        <v>7066570328</v>
      </c>
      <c r="Q23" s="45"/>
      <c r="R23" s="35" t="s">
        <v>110</v>
      </c>
      <c r="S23" s="45" t="s">
        <v>88</v>
      </c>
      <c r="T23" s="45" t="s">
        <v>89</v>
      </c>
      <c r="U23" s="46" t="s">
        <v>90</v>
      </c>
      <c r="V23" s="47">
        <v>25.5</v>
      </c>
      <c r="W23" s="48">
        <v>0</v>
      </c>
      <c r="X23" s="48">
        <v>0</v>
      </c>
      <c r="Y23" s="49">
        <f t="shared" si="0"/>
        <v>25.5</v>
      </c>
      <c r="Z23" s="50"/>
      <c r="AA23" s="51"/>
      <c r="AB23" s="52">
        <f t="shared" si="1"/>
        <v>382.5</v>
      </c>
      <c r="AC23" s="51"/>
      <c r="AD23" s="51"/>
      <c r="AE23" s="53">
        <v>15525</v>
      </c>
      <c r="AF23" s="54">
        <f t="shared" si="2"/>
        <v>776.25</v>
      </c>
      <c r="AG23" s="53">
        <v>0</v>
      </c>
      <c r="AH23" s="53">
        <v>0</v>
      </c>
      <c r="AI23" s="55">
        <f t="shared" si="3"/>
        <v>1293.2325000000001</v>
      </c>
      <c r="AJ23" s="55">
        <f t="shared" si="22"/>
        <v>776.25</v>
      </c>
      <c r="AK23" s="50">
        <f t="shared" si="23"/>
        <v>18370.732499999998</v>
      </c>
      <c r="AL23" s="50">
        <v>1500</v>
      </c>
      <c r="AM23" s="50">
        <v>1950</v>
      </c>
      <c r="AN23" s="50">
        <f t="shared" si="24"/>
        <v>555.01875000000007</v>
      </c>
      <c r="AO23" s="50">
        <v>300</v>
      </c>
      <c r="AP23" s="50">
        <f t="shared" si="25"/>
        <v>1482.3025875000001</v>
      </c>
      <c r="AQ23" s="50">
        <f t="shared" si="26"/>
        <v>24158.053837499996</v>
      </c>
      <c r="AR23" s="52">
        <f t="shared" si="4"/>
        <v>894.74273472222205</v>
      </c>
      <c r="AS23" s="52">
        <f t="shared" si="5"/>
        <v>75.46875</v>
      </c>
      <c r="AT23" s="52">
        <f t="shared" si="6"/>
        <v>83.375988281250002</v>
      </c>
      <c r="AU23" s="50">
        <f t="shared" si="7"/>
        <v>14662.5</v>
      </c>
      <c r="AV23" s="50">
        <f t="shared" si="8"/>
        <v>733.125</v>
      </c>
      <c r="AW23" s="50">
        <f t="shared" si="9"/>
        <v>0</v>
      </c>
      <c r="AX23" s="50">
        <f t="shared" si="10"/>
        <v>0</v>
      </c>
      <c r="AY23" s="50">
        <f t="shared" si="11"/>
        <v>1221.38625</v>
      </c>
      <c r="AZ23" s="50">
        <f t="shared" si="27"/>
        <v>733.125</v>
      </c>
      <c r="BA23" s="56">
        <f t="shared" si="12"/>
        <v>1417</v>
      </c>
      <c r="BB23" s="50">
        <f t="shared" si="13"/>
        <v>0</v>
      </c>
      <c r="BC23" s="50">
        <f t="shared" si="14"/>
        <v>0</v>
      </c>
      <c r="BD23" s="50">
        <f t="shared" si="28"/>
        <v>18767.13625</v>
      </c>
      <c r="BE23" s="57">
        <f t="shared" si="15"/>
        <v>1700</v>
      </c>
      <c r="BF23" s="50">
        <f t="shared" si="29"/>
        <v>116</v>
      </c>
      <c r="BG23" s="58">
        <f t="shared" si="30"/>
        <v>200</v>
      </c>
      <c r="BH23" s="55">
        <f t="shared" si="16"/>
        <v>0</v>
      </c>
      <c r="BI23" s="55">
        <f t="shared" si="16"/>
        <v>0</v>
      </c>
      <c r="BJ23" s="55">
        <f t="shared" si="17"/>
        <v>382.5</v>
      </c>
      <c r="BK23" s="59">
        <v>25</v>
      </c>
      <c r="BL23" s="60">
        <f t="shared" si="18"/>
        <v>2423.5</v>
      </c>
      <c r="BM23" s="61">
        <f>ROUND(BD23-BE23-BF23-BG23-BH23-BI23-BJ23-BK23,0)</f>
        <v>16344</v>
      </c>
      <c r="BN23" s="57">
        <f t="shared" si="20"/>
        <v>1842</v>
      </c>
      <c r="BO23" s="55">
        <f t="shared" si="31"/>
        <v>500</v>
      </c>
      <c r="BP23" s="55">
        <v>75</v>
      </c>
      <c r="BQ23" s="55">
        <v>300</v>
      </c>
      <c r="BR23" s="55">
        <f t="shared" si="32"/>
        <v>1405</v>
      </c>
      <c r="BS23" s="50">
        <f t="shared" si="21"/>
        <v>22889.13625</v>
      </c>
    </row>
    <row r="24" spans="1:71" s="62" customFormat="1" ht="15.75" x14ac:dyDescent="0.25">
      <c r="A24" s="31">
        <v>16</v>
      </c>
      <c r="B24" s="32"/>
      <c r="C24" s="33" t="s">
        <v>204</v>
      </c>
      <c r="D24" s="34" t="s">
        <v>205</v>
      </c>
      <c r="E24" s="35" t="s">
        <v>206</v>
      </c>
      <c r="F24" s="35" t="s">
        <v>78</v>
      </c>
      <c r="G24" s="36" t="s">
        <v>122</v>
      </c>
      <c r="H24" s="37" t="s">
        <v>207</v>
      </c>
      <c r="I24" s="38" t="s">
        <v>81</v>
      </c>
      <c r="J24" s="39">
        <v>491121101051</v>
      </c>
      <c r="K24" s="40" t="s">
        <v>82</v>
      </c>
      <c r="L24" s="41">
        <v>80030435962</v>
      </c>
      <c r="M24" s="41" t="s">
        <v>208</v>
      </c>
      <c r="N24" s="42" t="s">
        <v>209</v>
      </c>
      <c r="O24" s="43" t="s">
        <v>210</v>
      </c>
      <c r="P24" s="44">
        <v>7741851960</v>
      </c>
      <c r="Q24" s="35"/>
      <c r="R24" s="35" t="s">
        <v>182</v>
      </c>
      <c r="S24" s="45" t="s">
        <v>88</v>
      </c>
      <c r="T24" s="45" t="s">
        <v>89</v>
      </c>
      <c r="U24" s="46" t="s">
        <v>90</v>
      </c>
      <c r="V24" s="47">
        <v>27</v>
      </c>
      <c r="W24" s="48">
        <v>0</v>
      </c>
      <c r="X24" s="48">
        <v>0</v>
      </c>
      <c r="Y24" s="49">
        <f t="shared" si="0"/>
        <v>27</v>
      </c>
      <c r="Z24" s="50"/>
      <c r="AA24" s="51"/>
      <c r="AB24" s="52">
        <f t="shared" si="1"/>
        <v>405</v>
      </c>
      <c r="AC24" s="51"/>
      <c r="AD24" s="51"/>
      <c r="AE24" s="53">
        <v>15525</v>
      </c>
      <c r="AF24" s="54">
        <f t="shared" si="2"/>
        <v>776.25</v>
      </c>
      <c r="AG24" s="53">
        <v>0</v>
      </c>
      <c r="AH24" s="53">
        <v>0</v>
      </c>
      <c r="AI24" s="55">
        <f t="shared" si="3"/>
        <v>1293.2325000000001</v>
      </c>
      <c r="AJ24" s="55">
        <f t="shared" si="22"/>
        <v>776.25</v>
      </c>
      <c r="AK24" s="50">
        <f t="shared" si="23"/>
        <v>18370.732499999998</v>
      </c>
      <c r="AL24" s="50">
        <v>1500</v>
      </c>
      <c r="AM24" s="50">
        <v>1950</v>
      </c>
      <c r="AN24" s="50">
        <f t="shared" si="24"/>
        <v>555.01875000000007</v>
      </c>
      <c r="AO24" s="50">
        <v>300</v>
      </c>
      <c r="AP24" s="50">
        <f t="shared" si="25"/>
        <v>1482.3025875000001</v>
      </c>
      <c r="AQ24" s="50">
        <f t="shared" si="26"/>
        <v>24158.053837499996</v>
      </c>
      <c r="AR24" s="52">
        <f t="shared" si="4"/>
        <v>894.74273472222205</v>
      </c>
      <c r="AS24" s="52">
        <f t="shared" si="5"/>
        <v>75.46875</v>
      </c>
      <c r="AT24" s="52">
        <f t="shared" si="6"/>
        <v>83.375988281250002</v>
      </c>
      <c r="AU24" s="50">
        <f t="shared" si="7"/>
        <v>15525</v>
      </c>
      <c r="AV24" s="50">
        <f t="shared" si="8"/>
        <v>776.25</v>
      </c>
      <c r="AW24" s="50">
        <f t="shared" si="9"/>
        <v>0</v>
      </c>
      <c r="AX24" s="50">
        <f t="shared" si="10"/>
        <v>0</v>
      </c>
      <c r="AY24" s="50">
        <f t="shared" si="11"/>
        <v>1293.2325000000001</v>
      </c>
      <c r="AZ24" s="50">
        <f t="shared" si="27"/>
        <v>776.25</v>
      </c>
      <c r="BA24" s="56">
        <f t="shared" si="12"/>
        <v>1500</v>
      </c>
      <c r="BB24" s="50">
        <f t="shared" si="13"/>
        <v>0</v>
      </c>
      <c r="BC24" s="50">
        <f t="shared" si="14"/>
        <v>0</v>
      </c>
      <c r="BD24" s="50">
        <f t="shared" si="28"/>
        <v>19870.732499999998</v>
      </c>
      <c r="BE24" s="57">
        <f t="shared" si="15"/>
        <v>1800</v>
      </c>
      <c r="BF24" s="50">
        <f t="shared" si="29"/>
        <v>123</v>
      </c>
      <c r="BG24" s="58">
        <f t="shared" si="30"/>
        <v>200</v>
      </c>
      <c r="BH24" s="55">
        <f t="shared" si="16"/>
        <v>0</v>
      </c>
      <c r="BI24" s="55">
        <f t="shared" si="16"/>
        <v>0</v>
      </c>
      <c r="BJ24" s="55">
        <f t="shared" si="17"/>
        <v>405</v>
      </c>
      <c r="BK24" s="59">
        <v>25</v>
      </c>
      <c r="BL24" s="60">
        <f t="shared" si="18"/>
        <v>2553</v>
      </c>
      <c r="BM24" s="61">
        <f t="shared" si="19"/>
        <v>17318</v>
      </c>
      <c r="BN24" s="57">
        <f t="shared" si="20"/>
        <v>1950</v>
      </c>
      <c r="BO24" s="55">
        <f t="shared" si="31"/>
        <v>530</v>
      </c>
      <c r="BP24" s="55">
        <v>75</v>
      </c>
      <c r="BQ24" s="55">
        <v>300</v>
      </c>
      <c r="BR24" s="55">
        <f t="shared" si="32"/>
        <v>1486</v>
      </c>
      <c r="BS24" s="50">
        <f t="shared" si="21"/>
        <v>24211.732499999998</v>
      </c>
    </row>
    <row r="25" spans="1:71" s="62" customFormat="1" ht="15.75" x14ac:dyDescent="0.25">
      <c r="A25" s="31">
        <v>17</v>
      </c>
      <c r="B25" s="32"/>
      <c r="C25" s="33" t="s">
        <v>211</v>
      </c>
      <c r="D25" s="34" t="s">
        <v>212</v>
      </c>
      <c r="E25" s="35" t="s">
        <v>213</v>
      </c>
      <c r="F25" s="35" t="s">
        <v>78</v>
      </c>
      <c r="G25" s="36" t="s">
        <v>214</v>
      </c>
      <c r="H25" s="37" t="s">
        <v>215</v>
      </c>
      <c r="I25" s="38" t="s">
        <v>81</v>
      </c>
      <c r="J25" s="39">
        <v>222459192992</v>
      </c>
      <c r="K25" s="40" t="s">
        <v>96</v>
      </c>
      <c r="L25" s="41">
        <v>34016471618</v>
      </c>
      <c r="M25" s="41" t="s">
        <v>98</v>
      </c>
      <c r="N25" s="42" t="s">
        <v>216</v>
      </c>
      <c r="O25" s="43" t="s">
        <v>217</v>
      </c>
      <c r="P25" s="44">
        <v>9673713891</v>
      </c>
      <c r="Q25" s="35"/>
      <c r="R25" s="35" t="s">
        <v>218</v>
      </c>
      <c r="S25" s="45" t="s">
        <v>88</v>
      </c>
      <c r="T25" s="45" t="s">
        <v>89</v>
      </c>
      <c r="U25" s="46" t="s">
        <v>90</v>
      </c>
      <c r="V25" s="47">
        <v>22.5</v>
      </c>
      <c r="W25" s="48">
        <v>0</v>
      </c>
      <c r="X25" s="48">
        <v>0</v>
      </c>
      <c r="Y25" s="49">
        <f t="shared" si="0"/>
        <v>22.5</v>
      </c>
      <c r="Z25" s="50"/>
      <c r="AA25" s="51"/>
      <c r="AB25" s="52">
        <f t="shared" si="1"/>
        <v>337.5</v>
      </c>
      <c r="AC25" s="51"/>
      <c r="AD25" s="51"/>
      <c r="AE25" s="53">
        <v>15525</v>
      </c>
      <c r="AF25" s="54">
        <f t="shared" si="2"/>
        <v>776.25</v>
      </c>
      <c r="AG25" s="53">
        <v>0</v>
      </c>
      <c r="AH25" s="53">
        <v>0</v>
      </c>
      <c r="AI25" s="55">
        <f t="shared" si="3"/>
        <v>1293.2325000000001</v>
      </c>
      <c r="AJ25" s="55">
        <f t="shared" si="22"/>
        <v>776.25</v>
      </c>
      <c r="AK25" s="50">
        <f t="shared" si="23"/>
        <v>18370.732499999998</v>
      </c>
      <c r="AL25" s="50">
        <v>1500</v>
      </c>
      <c r="AM25" s="50">
        <v>1950</v>
      </c>
      <c r="AN25" s="50">
        <f t="shared" si="24"/>
        <v>555.01875000000007</v>
      </c>
      <c r="AO25" s="50">
        <v>300</v>
      </c>
      <c r="AP25" s="50">
        <f t="shared" si="25"/>
        <v>1482.3025875000001</v>
      </c>
      <c r="AQ25" s="50">
        <f t="shared" si="26"/>
        <v>24158.053837499996</v>
      </c>
      <c r="AR25" s="52">
        <f t="shared" si="4"/>
        <v>894.74273472222205</v>
      </c>
      <c r="AS25" s="52">
        <f t="shared" si="5"/>
        <v>75.46875</v>
      </c>
      <c r="AT25" s="52">
        <f t="shared" si="6"/>
        <v>83.375988281250002</v>
      </c>
      <c r="AU25" s="50">
        <f t="shared" si="7"/>
        <v>12937.5</v>
      </c>
      <c r="AV25" s="50">
        <f t="shared" si="8"/>
        <v>646.875</v>
      </c>
      <c r="AW25" s="50">
        <f t="shared" si="9"/>
        <v>0</v>
      </c>
      <c r="AX25" s="50">
        <f t="shared" si="10"/>
        <v>0</v>
      </c>
      <c r="AY25" s="50">
        <f t="shared" si="11"/>
        <v>1077.6937499999999</v>
      </c>
      <c r="AZ25" s="50">
        <f t="shared" si="27"/>
        <v>646.875</v>
      </c>
      <c r="BA25" s="56">
        <f t="shared" si="12"/>
        <v>1250</v>
      </c>
      <c r="BB25" s="50">
        <f t="shared" si="13"/>
        <v>0</v>
      </c>
      <c r="BC25" s="50">
        <f t="shared" si="14"/>
        <v>0</v>
      </c>
      <c r="BD25" s="50">
        <f t="shared" si="28"/>
        <v>16558.943749999999</v>
      </c>
      <c r="BE25" s="57">
        <f t="shared" si="15"/>
        <v>1500</v>
      </c>
      <c r="BF25" s="50">
        <f t="shared" si="29"/>
        <v>102</v>
      </c>
      <c r="BG25" s="58">
        <f t="shared" si="30"/>
        <v>200</v>
      </c>
      <c r="BH25" s="55">
        <f t="shared" si="16"/>
        <v>0</v>
      </c>
      <c r="BI25" s="55">
        <f t="shared" si="16"/>
        <v>0</v>
      </c>
      <c r="BJ25" s="55">
        <f t="shared" si="17"/>
        <v>337.5</v>
      </c>
      <c r="BK25" s="59">
        <v>25</v>
      </c>
      <c r="BL25" s="60">
        <f t="shared" si="18"/>
        <v>2164.5</v>
      </c>
      <c r="BM25" s="61">
        <f t="shared" si="19"/>
        <v>14394</v>
      </c>
      <c r="BN25" s="57">
        <f t="shared" si="20"/>
        <v>1625</v>
      </c>
      <c r="BO25" s="55">
        <f t="shared" si="31"/>
        <v>441</v>
      </c>
      <c r="BP25" s="55">
        <v>75</v>
      </c>
      <c r="BQ25" s="55">
        <v>300</v>
      </c>
      <c r="BR25" s="55">
        <f t="shared" si="32"/>
        <v>1242</v>
      </c>
      <c r="BS25" s="50">
        <f t="shared" si="21"/>
        <v>20241.943749999999</v>
      </c>
    </row>
    <row r="26" spans="1:71" s="62" customFormat="1" ht="15.75" x14ac:dyDescent="0.25">
      <c r="A26" s="31">
        <v>18</v>
      </c>
      <c r="B26" s="32"/>
      <c r="C26" s="33" t="s">
        <v>219</v>
      </c>
      <c r="D26" s="34" t="s">
        <v>220</v>
      </c>
      <c r="E26" s="35" t="s">
        <v>221</v>
      </c>
      <c r="F26" s="35" t="s">
        <v>78</v>
      </c>
      <c r="G26" s="36" t="s">
        <v>222</v>
      </c>
      <c r="H26" s="37" t="s">
        <v>223</v>
      </c>
      <c r="I26" s="38" t="s">
        <v>81</v>
      </c>
      <c r="J26" s="39">
        <v>284062598505</v>
      </c>
      <c r="K26" s="40" t="s">
        <v>107</v>
      </c>
      <c r="L26" s="41">
        <v>5187077531</v>
      </c>
      <c r="M26" s="41" t="s">
        <v>124</v>
      </c>
      <c r="N26" s="42" t="s">
        <v>224</v>
      </c>
      <c r="O26" s="43" t="s">
        <v>225</v>
      </c>
      <c r="P26" s="44">
        <v>9561331023</v>
      </c>
      <c r="Q26" s="35"/>
      <c r="R26" s="35" t="s">
        <v>110</v>
      </c>
      <c r="S26" s="45" t="s">
        <v>88</v>
      </c>
      <c r="T26" s="45" t="s">
        <v>89</v>
      </c>
      <c r="U26" s="46" t="s">
        <v>90</v>
      </c>
      <c r="V26" s="47">
        <v>27</v>
      </c>
      <c r="W26" s="48">
        <v>0</v>
      </c>
      <c r="X26" s="48">
        <v>0</v>
      </c>
      <c r="Y26" s="49">
        <f t="shared" si="0"/>
        <v>27</v>
      </c>
      <c r="Z26" s="50"/>
      <c r="AA26" s="51"/>
      <c r="AB26" s="52">
        <f t="shared" si="1"/>
        <v>405</v>
      </c>
      <c r="AC26" s="51"/>
      <c r="AD26" s="51"/>
      <c r="AE26" s="53">
        <v>15525</v>
      </c>
      <c r="AF26" s="54">
        <f t="shared" si="2"/>
        <v>776.25</v>
      </c>
      <c r="AG26" s="53">
        <v>0</v>
      </c>
      <c r="AH26" s="53">
        <v>0</v>
      </c>
      <c r="AI26" s="55">
        <f t="shared" si="3"/>
        <v>1293.2325000000001</v>
      </c>
      <c r="AJ26" s="55">
        <f t="shared" si="22"/>
        <v>776.25</v>
      </c>
      <c r="AK26" s="50">
        <f t="shared" si="23"/>
        <v>18370.732499999998</v>
      </c>
      <c r="AL26" s="50">
        <v>1500</v>
      </c>
      <c r="AM26" s="50">
        <v>1950</v>
      </c>
      <c r="AN26" s="50">
        <f t="shared" si="24"/>
        <v>555.01875000000007</v>
      </c>
      <c r="AO26" s="50">
        <v>300</v>
      </c>
      <c r="AP26" s="50">
        <f t="shared" si="25"/>
        <v>1482.3025875000001</v>
      </c>
      <c r="AQ26" s="50">
        <f t="shared" si="26"/>
        <v>24158.053837499996</v>
      </c>
      <c r="AR26" s="52">
        <f t="shared" si="4"/>
        <v>894.74273472222205</v>
      </c>
      <c r="AS26" s="52">
        <f t="shared" si="5"/>
        <v>75.46875</v>
      </c>
      <c r="AT26" s="52">
        <f t="shared" si="6"/>
        <v>83.375988281250002</v>
      </c>
      <c r="AU26" s="50">
        <f t="shared" si="7"/>
        <v>15525</v>
      </c>
      <c r="AV26" s="50">
        <f t="shared" si="8"/>
        <v>776.25</v>
      </c>
      <c r="AW26" s="50">
        <f t="shared" si="9"/>
        <v>0</v>
      </c>
      <c r="AX26" s="50">
        <f t="shared" si="10"/>
        <v>0</v>
      </c>
      <c r="AY26" s="50">
        <f t="shared" si="11"/>
        <v>1293.2325000000001</v>
      </c>
      <c r="AZ26" s="50">
        <f t="shared" si="27"/>
        <v>776.25</v>
      </c>
      <c r="BA26" s="56">
        <f t="shared" si="12"/>
        <v>1500</v>
      </c>
      <c r="BB26" s="50">
        <f t="shared" si="13"/>
        <v>0</v>
      </c>
      <c r="BC26" s="50">
        <f t="shared" si="14"/>
        <v>0</v>
      </c>
      <c r="BD26" s="50">
        <f t="shared" si="28"/>
        <v>19870.732499999998</v>
      </c>
      <c r="BE26" s="57">
        <f t="shared" si="15"/>
        <v>1800</v>
      </c>
      <c r="BF26" s="50">
        <f t="shared" si="29"/>
        <v>123</v>
      </c>
      <c r="BG26" s="58">
        <f t="shared" si="30"/>
        <v>200</v>
      </c>
      <c r="BH26" s="55">
        <f t="shared" si="16"/>
        <v>0</v>
      </c>
      <c r="BI26" s="55">
        <f t="shared" si="16"/>
        <v>0</v>
      </c>
      <c r="BJ26" s="55">
        <f t="shared" si="17"/>
        <v>405</v>
      </c>
      <c r="BK26" s="59">
        <v>25</v>
      </c>
      <c r="BL26" s="60">
        <f t="shared" si="18"/>
        <v>2553</v>
      </c>
      <c r="BM26" s="61">
        <f t="shared" si="19"/>
        <v>17318</v>
      </c>
      <c r="BN26" s="57">
        <f t="shared" si="20"/>
        <v>1950</v>
      </c>
      <c r="BO26" s="55">
        <f t="shared" si="31"/>
        <v>530</v>
      </c>
      <c r="BP26" s="55">
        <v>75</v>
      </c>
      <c r="BQ26" s="55">
        <v>300</v>
      </c>
      <c r="BR26" s="55">
        <f t="shared" si="32"/>
        <v>1486</v>
      </c>
      <c r="BS26" s="50">
        <f t="shared" si="21"/>
        <v>24211.732499999998</v>
      </c>
    </row>
    <row r="27" spans="1:71" s="62" customFormat="1" ht="15.75" x14ac:dyDescent="0.25">
      <c r="A27" s="31">
        <v>19</v>
      </c>
      <c r="B27" s="32"/>
      <c r="C27" s="33" t="s">
        <v>226</v>
      </c>
      <c r="D27" s="34" t="s">
        <v>227</v>
      </c>
      <c r="E27" s="35" t="s">
        <v>228</v>
      </c>
      <c r="F27" s="35" t="s">
        <v>78</v>
      </c>
      <c r="G27" s="36" t="s">
        <v>114</v>
      </c>
      <c r="H27" s="37" t="s">
        <v>229</v>
      </c>
      <c r="I27" s="38" t="s">
        <v>81</v>
      </c>
      <c r="J27" s="39">
        <v>698541244186</v>
      </c>
      <c r="K27" s="40" t="s">
        <v>230</v>
      </c>
      <c r="L27" s="66" t="s">
        <v>231</v>
      </c>
      <c r="M27" s="41" t="s">
        <v>232</v>
      </c>
      <c r="N27" s="42" t="s">
        <v>233</v>
      </c>
      <c r="O27" s="43" t="s">
        <v>234</v>
      </c>
      <c r="P27" s="44">
        <v>9370469836</v>
      </c>
      <c r="Q27" s="35"/>
      <c r="R27" s="35" t="s">
        <v>110</v>
      </c>
      <c r="S27" s="45" t="s">
        <v>88</v>
      </c>
      <c r="T27" s="45" t="s">
        <v>89</v>
      </c>
      <c r="U27" s="46" t="s">
        <v>90</v>
      </c>
      <c r="V27" s="47">
        <v>27</v>
      </c>
      <c r="W27" s="48">
        <v>0</v>
      </c>
      <c r="X27" s="48">
        <v>0</v>
      </c>
      <c r="Y27" s="49">
        <f t="shared" si="0"/>
        <v>27</v>
      </c>
      <c r="Z27" s="50"/>
      <c r="AA27" s="51"/>
      <c r="AB27" s="52">
        <f t="shared" si="1"/>
        <v>405</v>
      </c>
      <c r="AC27" s="51"/>
      <c r="AD27" s="51"/>
      <c r="AE27" s="53">
        <v>15525</v>
      </c>
      <c r="AF27" s="54">
        <f t="shared" si="2"/>
        <v>776.25</v>
      </c>
      <c r="AG27" s="53">
        <v>0</v>
      </c>
      <c r="AH27" s="53">
        <v>0</v>
      </c>
      <c r="AI27" s="55">
        <f t="shared" si="3"/>
        <v>1293.2325000000001</v>
      </c>
      <c r="AJ27" s="55">
        <f t="shared" si="22"/>
        <v>776.25</v>
      </c>
      <c r="AK27" s="50">
        <f t="shared" si="23"/>
        <v>18370.732499999998</v>
      </c>
      <c r="AL27" s="50">
        <v>1500</v>
      </c>
      <c r="AM27" s="50">
        <v>1950</v>
      </c>
      <c r="AN27" s="50">
        <f t="shared" si="24"/>
        <v>555.01875000000007</v>
      </c>
      <c r="AO27" s="50">
        <v>300</v>
      </c>
      <c r="AP27" s="50">
        <f t="shared" si="25"/>
        <v>1482.3025875000001</v>
      </c>
      <c r="AQ27" s="50">
        <f t="shared" si="26"/>
        <v>24158.053837499996</v>
      </c>
      <c r="AR27" s="52">
        <f t="shared" si="4"/>
        <v>894.74273472222205</v>
      </c>
      <c r="AS27" s="52">
        <f t="shared" si="5"/>
        <v>75.46875</v>
      </c>
      <c r="AT27" s="52">
        <f t="shared" si="6"/>
        <v>83.375988281250002</v>
      </c>
      <c r="AU27" s="50">
        <f t="shared" si="7"/>
        <v>15525</v>
      </c>
      <c r="AV27" s="50">
        <f t="shared" si="8"/>
        <v>776.25</v>
      </c>
      <c r="AW27" s="50">
        <f t="shared" si="9"/>
        <v>0</v>
      </c>
      <c r="AX27" s="50">
        <f t="shared" si="10"/>
        <v>0</v>
      </c>
      <c r="AY27" s="50">
        <f t="shared" si="11"/>
        <v>1293.2325000000001</v>
      </c>
      <c r="AZ27" s="50">
        <f t="shared" si="27"/>
        <v>776.25</v>
      </c>
      <c r="BA27" s="56">
        <f t="shared" si="12"/>
        <v>1500</v>
      </c>
      <c r="BB27" s="50">
        <f t="shared" si="13"/>
        <v>0</v>
      </c>
      <c r="BC27" s="50">
        <f t="shared" si="14"/>
        <v>0</v>
      </c>
      <c r="BD27" s="50">
        <f t="shared" si="28"/>
        <v>19870.732499999998</v>
      </c>
      <c r="BE27" s="57">
        <f t="shared" si="15"/>
        <v>1800</v>
      </c>
      <c r="BF27" s="50">
        <f t="shared" si="29"/>
        <v>123</v>
      </c>
      <c r="BG27" s="58">
        <f t="shared" si="30"/>
        <v>200</v>
      </c>
      <c r="BH27" s="55">
        <f t="shared" si="16"/>
        <v>0</v>
      </c>
      <c r="BI27" s="55">
        <f t="shared" si="16"/>
        <v>0</v>
      </c>
      <c r="BJ27" s="55">
        <f t="shared" si="17"/>
        <v>405</v>
      </c>
      <c r="BK27" s="59">
        <v>25</v>
      </c>
      <c r="BL27" s="60">
        <f t="shared" si="18"/>
        <v>2553</v>
      </c>
      <c r="BM27" s="61">
        <f t="shared" si="19"/>
        <v>17318</v>
      </c>
      <c r="BN27" s="57">
        <f t="shared" si="20"/>
        <v>1950</v>
      </c>
      <c r="BO27" s="55">
        <f t="shared" si="31"/>
        <v>530</v>
      </c>
      <c r="BP27" s="55">
        <v>75</v>
      </c>
      <c r="BQ27" s="55">
        <v>300</v>
      </c>
      <c r="BR27" s="55">
        <f t="shared" si="32"/>
        <v>1486</v>
      </c>
      <c r="BS27" s="50">
        <f t="shared" si="21"/>
        <v>24211.732499999998</v>
      </c>
    </row>
    <row r="28" spans="1:71" s="62" customFormat="1" ht="15.75" x14ac:dyDescent="0.25">
      <c r="A28" s="31">
        <v>20</v>
      </c>
      <c r="B28" s="32"/>
      <c r="C28" s="33" t="s">
        <v>235</v>
      </c>
      <c r="D28" s="34" t="s">
        <v>236</v>
      </c>
      <c r="E28" s="35" t="s">
        <v>237</v>
      </c>
      <c r="F28" s="35" t="s">
        <v>78</v>
      </c>
      <c r="G28" s="36" t="s">
        <v>163</v>
      </c>
      <c r="H28" s="37" t="s">
        <v>238</v>
      </c>
      <c r="I28" s="38" t="s">
        <v>81</v>
      </c>
      <c r="J28" s="39">
        <v>905320899326</v>
      </c>
      <c r="K28" s="40" t="s">
        <v>96</v>
      </c>
      <c r="L28" s="41" t="s">
        <v>239</v>
      </c>
      <c r="M28" s="41" t="s">
        <v>108</v>
      </c>
      <c r="N28" s="42" t="s">
        <v>240</v>
      </c>
      <c r="O28" s="43" t="s">
        <v>241</v>
      </c>
      <c r="P28" s="44">
        <v>9325963858</v>
      </c>
      <c r="Q28" s="35"/>
      <c r="R28" s="35" t="s">
        <v>135</v>
      </c>
      <c r="S28" s="45" t="s">
        <v>88</v>
      </c>
      <c r="T28" s="45" t="s">
        <v>89</v>
      </c>
      <c r="U28" s="46" t="s">
        <v>90</v>
      </c>
      <c r="V28" s="47">
        <v>24.5</v>
      </c>
      <c r="W28" s="48">
        <v>0</v>
      </c>
      <c r="X28" s="48">
        <v>0</v>
      </c>
      <c r="Y28" s="49">
        <f t="shared" si="0"/>
        <v>24.5</v>
      </c>
      <c r="Z28" s="50"/>
      <c r="AA28" s="51"/>
      <c r="AB28" s="52">
        <f t="shared" si="1"/>
        <v>367.5</v>
      </c>
      <c r="AC28" s="51"/>
      <c r="AD28" s="51"/>
      <c r="AE28" s="53">
        <v>15525</v>
      </c>
      <c r="AF28" s="54">
        <f t="shared" si="2"/>
        <v>776.25</v>
      </c>
      <c r="AG28" s="53">
        <v>0</v>
      </c>
      <c r="AH28" s="53">
        <v>0</v>
      </c>
      <c r="AI28" s="55">
        <f t="shared" si="3"/>
        <v>1293.2325000000001</v>
      </c>
      <c r="AJ28" s="55">
        <f t="shared" si="22"/>
        <v>776.25</v>
      </c>
      <c r="AK28" s="50">
        <f t="shared" si="23"/>
        <v>18370.732499999998</v>
      </c>
      <c r="AL28" s="50">
        <v>1500</v>
      </c>
      <c r="AM28" s="50">
        <v>1950</v>
      </c>
      <c r="AN28" s="50">
        <f t="shared" si="24"/>
        <v>555.01875000000007</v>
      </c>
      <c r="AO28" s="50">
        <v>300</v>
      </c>
      <c r="AP28" s="50">
        <f t="shared" si="25"/>
        <v>1482.3025875000001</v>
      </c>
      <c r="AQ28" s="50">
        <f t="shared" si="26"/>
        <v>24158.053837499996</v>
      </c>
      <c r="AR28" s="52">
        <f t="shared" si="4"/>
        <v>894.74273472222205</v>
      </c>
      <c r="AS28" s="52">
        <f t="shared" si="5"/>
        <v>75.46875</v>
      </c>
      <c r="AT28" s="52">
        <f t="shared" si="6"/>
        <v>83.375988281250002</v>
      </c>
      <c r="AU28" s="50">
        <f t="shared" si="7"/>
        <v>14087.5</v>
      </c>
      <c r="AV28" s="50">
        <f t="shared" si="8"/>
        <v>704.375</v>
      </c>
      <c r="AW28" s="50">
        <f t="shared" si="9"/>
        <v>0</v>
      </c>
      <c r="AX28" s="50">
        <f t="shared" si="10"/>
        <v>0</v>
      </c>
      <c r="AY28" s="50">
        <f t="shared" si="11"/>
        <v>1173.48875</v>
      </c>
      <c r="AZ28" s="50">
        <f t="shared" si="27"/>
        <v>704.375</v>
      </c>
      <c r="BA28" s="56">
        <f t="shared" si="12"/>
        <v>1361</v>
      </c>
      <c r="BB28" s="50">
        <f t="shared" si="13"/>
        <v>0</v>
      </c>
      <c r="BC28" s="50">
        <f t="shared" si="14"/>
        <v>0</v>
      </c>
      <c r="BD28" s="50">
        <f t="shared" si="28"/>
        <v>18030.73875</v>
      </c>
      <c r="BE28" s="57">
        <f t="shared" si="15"/>
        <v>1633</v>
      </c>
      <c r="BF28" s="50">
        <f t="shared" si="29"/>
        <v>111</v>
      </c>
      <c r="BG28" s="58">
        <f t="shared" si="30"/>
        <v>200</v>
      </c>
      <c r="BH28" s="55">
        <f t="shared" si="16"/>
        <v>0</v>
      </c>
      <c r="BI28" s="55">
        <f t="shared" si="16"/>
        <v>0</v>
      </c>
      <c r="BJ28" s="55">
        <f t="shared" si="17"/>
        <v>367.5</v>
      </c>
      <c r="BK28" s="59">
        <v>25</v>
      </c>
      <c r="BL28" s="60">
        <f t="shared" si="18"/>
        <v>2336.5</v>
      </c>
      <c r="BM28" s="61">
        <f t="shared" si="19"/>
        <v>15694</v>
      </c>
      <c r="BN28" s="57">
        <f t="shared" si="20"/>
        <v>1769</v>
      </c>
      <c r="BO28" s="55">
        <f t="shared" si="31"/>
        <v>481</v>
      </c>
      <c r="BP28" s="55">
        <v>75</v>
      </c>
      <c r="BQ28" s="55">
        <v>300</v>
      </c>
      <c r="BR28" s="55">
        <f t="shared" si="32"/>
        <v>1351</v>
      </c>
      <c r="BS28" s="50">
        <f t="shared" si="21"/>
        <v>22006.73875</v>
      </c>
    </row>
    <row r="29" spans="1:71" s="62" customFormat="1" ht="15.75" x14ac:dyDescent="0.25">
      <c r="A29" s="31">
        <v>21</v>
      </c>
      <c r="B29" s="32"/>
      <c r="C29" s="33" t="s">
        <v>242</v>
      </c>
      <c r="D29" s="34" t="s">
        <v>243</v>
      </c>
      <c r="E29" s="35" t="s">
        <v>244</v>
      </c>
      <c r="F29" s="35" t="s">
        <v>78</v>
      </c>
      <c r="G29" s="36" t="s">
        <v>94</v>
      </c>
      <c r="H29" s="37" t="s">
        <v>245</v>
      </c>
      <c r="I29" s="38" t="s">
        <v>81</v>
      </c>
      <c r="J29" s="39">
        <v>220418878400</v>
      </c>
      <c r="K29" s="40" t="s">
        <v>107</v>
      </c>
      <c r="L29" s="41">
        <v>3689818421</v>
      </c>
      <c r="M29" s="41" t="s">
        <v>246</v>
      </c>
      <c r="N29" s="42" t="s">
        <v>247</v>
      </c>
      <c r="O29" s="43" t="s">
        <v>248</v>
      </c>
      <c r="P29" s="44">
        <v>7499289247</v>
      </c>
      <c r="Q29" s="35"/>
      <c r="R29" s="35" t="s">
        <v>195</v>
      </c>
      <c r="S29" s="45" t="s">
        <v>88</v>
      </c>
      <c r="T29" s="45" t="s">
        <v>89</v>
      </c>
      <c r="U29" s="46" t="s">
        <v>90</v>
      </c>
      <c r="V29" s="47">
        <v>26</v>
      </c>
      <c r="W29" s="48">
        <v>0</v>
      </c>
      <c r="X29" s="48">
        <v>0</v>
      </c>
      <c r="Y29" s="49">
        <f t="shared" si="0"/>
        <v>26</v>
      </c>
      <c r="Z29" s="50"/>
      <c r="AA29" s="51"/>
      <c r="AB29" s="52">
        <f t="shared" si="1"/>
        <v>390</v>
      </c>
      <c r="AC29" s="51"/>
      <c r="AD29" s="51"/>
      <c r="AE29" s="53">
        <v>15525</v>
      </c>
      <c r="AF29" s="54">
        <f t="shared" si="2"/>
        <v>776.25</v>
      </c>
      <c r="AG29" s="53">
        <v>0</v>
      </c>
      <c r="AH29" s="53">
        <v>0</v>
      </c>
      <c r="AI29" s="55">
        <f t="shared" si="3"/>
        <v>1293.2325000000001</v>
      </c>
      <c r="AJ29" s="55">
        <f t="shared" si="22"/>
        <v>776.25</v>
      </c>
      <c r="AK29" s="50">
        <f t="shared" si="23"/>
        <v>18370.732499999998</v>
      </c>
      <c r="AL29" s="50">
        <v>1500</v>
      </c>
      <c r="AM29" s="50">
        <v>1950</v>
      </c>
      <c r="AN29" s="50">
        <f t="shared" si="24"/>
        <v>555.01875000000007</v>
      </c>
      <c r="AO29" s="50">
        <v>300</v>
      </c>
      <c r="AP29" s="50">
        <f t="shared" si="25"/>
        <v>1482.3025875000001</v>
      </c>
      <c r="AQ29" s="50">
        <f t="shared" si="26"/>
        <v>24158.053837499996</v>
      </c>
      <c r="AR29" s="52">
        <f t="shared" si="4"/>
        <v>894.74273472222205</v>
      </c>
      <c r="AS29" s="52">
        <f t="shared" si="5"/>
        <v>75.46875</v>
      </c>
      <c r="AT29" s="52">
        <f t="shared" si="6"/>
        <v>83.375988281250002</v>
      </c>
      <c r="AU29" s="50">
        <f t="shared" si="7"/>
        <v>14950</v>
      </c>
      <c r="AV29" s="50">
        <f t="shared" si="8"/>
        <v>747.5</v>
      </c>
      <c r="AW29" s="50">
        <f t="shared" si="9"/>
        <v>0</v>
      </c>
      <c r="AX29" s="50">
        <f t="shared" si="10"/>
        <v>0</v>
      </c>
      <c r="AY29" s="50">
        <f t="shared" si="11"/>
        <v>1245.335</v>
      </c>
      <c r="AZ29" s="50">
        <f t="shared" si="27"/>
        <v>747.5</v>
      </c>
      <c r="BA29" s="56">
        <f t="shared" si="12"/>
        <v>1444</v>
      </c>
      <c r="BB29" s="50">
        <f t="shared" si="13"/>
        <v>0</v>
      </c>
      <c r="BC29" s="50">
        <f t="shared" si="14"/>
        <v>0</v>
      </c>
      <c r="BD29" s="50">
        <f t="shared" si="28"/>
        <v>19134.334999999999</v>
      </c>
      <c r="BE29" s="57">
        <f t="shared" si="15"/>
        <v>1733</v>
      </c>
      <c r="BF29" s="50">
        <f t="shared" si="29"/>
        <v>118</v>
      </c>
      <c r="BG29" s="58">
        <f t="shared" si="30"/>
        <v>200</v>
      </c>
      <c r="BH29" s="55">
        <f t="shared" si="16"/>
        <v>0</v>
      </c>
      <c r="BI29" s="55">
        <f t="shared" si="16"/>
        <v>0</v>
      </c>
      <c r="BJ29" s="55">
        <f t="shared" si="17"/>
        <v>390</v>
      </c>
      <c r="BK29" s="59">
        <v>25</v>
      </c>
      <c r="BL29" s="60">
        <f t="shared" si="18"/>
        <v>2466</v>
      </c>
      <c r="BM29" s="61">
        <f t="shared" si="19"/>
        <v>16668</v>
      </c>
      <c r="BN29" s="57">
        <f t="shared" si="20"/>
        <v>1878</v>
      </c>
      <c r="BO29" s="55">
        <f t="shared" si="31"/>
        <v>510</v>
      </c>
      <c r="BP29" s="55">
        <v>75</v>
      </c>
      <c r="BQ29" s="55">
        <v>300</v>
      </c>
      <c r="BR29" s="55">
        <f t="shared" si="32"/>
        <v>1432</v>
      </c>
      <c r="BS29" s="50">
        <f t="shared" si="21"/>
        <v>23329.334999999999</v>
      </c>
    </row>
    <row r="30" spans="1:71" s="62" customFormat="1" ht="15.75" x14ac:dyDescent="0.25">
      <c r="A30" s="31">
        <v>22</v>
      </c>
      <c r="B30" s="32"/>
      <c r="C30" s="33" t="s">
        <v>249</v>
      </c>
      <c r="D30" s="34" t="s">
        <v>250</v>
      </c>
      <c r="E30" s="35" t="s">
        <v>251</v>
      </c>
      <c r="F30" s="35" t="s">
        <v>78</v>
      </c>
      <c r="G30" s="36" t="s">
        <v>252</v>
      </c>
      <c r="H30" s="37" t="s">
        <v>253</v>
      </c>
      <c r="I30" s="38" t="s">
        <v>81</v>
      </c>
      <c r="J30" s="39">
        <v>420372946526</v>
      </c>
      <c r="K30" s="40" t="s">
        <v>107</v>
      </c>
      <c r="L30" s="41">
        <v>2962559073</v>
      </c>
      <c r="M30" s="41" t="s">
        <v>246</v>
      </c>
      <c r="N30" s="42" t="s">
        <v>254</v>
      </c>
      <c r="O30" s="43" t="s">
        <v>255</v>
      </c>
      <c r="P30" s="44">
        <v>9637040709</v>
      </c>
      <c r="Q30" s="35"/>
      <c r="R30" s="35" t="s">
        <v>256</v>
      </c>
      <c r="S30" s="45" t="s">
        <v>88</v>
      </c>
      <c r="T30" s="45" t="s">
        <v>89</v>
      </c>
      <c r="U30" s="46" t="s">
        <v>90</v>
      </c>
      <c r="V30" s="47">
        <v>24</v>
      </c>
      <c r="W30" s="48">
        <v>0</v>
      </c>
      <c r="X30" s="48">
        <v>0</v>
      </c>
      <c r="Y30" s="49">
        <f t="shared" si="0"/>
        <v>24</v>
      </c>
      <c r="Z30" s="50"/>
      <c r="AA30" s="51"/>
      <c r="AB30" s="52">
        <f t="shared" si="1"/>
        <v>360</v>
      </c>
      <c r="AC30" s="51"/>
      <c r="AD30" s="51"/>
      <c r="AE30" s="53">
        <v>15525</v>
      </c>
      <c r="AF30" s="54">
        <f t="shared" si="2"/>
        <v>776.25</v>
      </c>
      <c r="AG30" s="53">
        <v>0</v>
      </c>
      <c r="AH30" s="53">
        <v>0</v>
      </c>
      <c r="AI30" s="55">
        <f t="shared" si="3"/>
        <v>1293.2325000000001</v>
      </c>
      <c r="AJ30" s="55">
        <f t="shared" si="22"/>
        <v>776.25</v>
      </c>
      <c r="AK30" s="50">
        <f t="shared" si="23"/>
        <v>18370.732499999998</v>
      </c>
      <c r="AL30" s="50">
        <v>1500</v>
      </c>
      <c r="AM30" s="50">
        <v>1950</v>
      </c>
      <c r="AN30" s="50">
        <f t="shared" si="24"/>
        <v>555.01875000000007</v>
      </c>
      <c r="AO30" s="50">
        <v>300</v>
      </c>
      <c r="AP30" s="50">
        <f t="shared" si="25"/>
        <v>1482.3025875000001</v>
      </c>
      <c r="AQ30" s="50">
        <f t="shared" si="26"/>
        <v>24158.053837499996</v>
      </c>
      <c r="AR30" s="52">
        <f t="shared" si="4"/>
        <v>894.74273472222205</v>
      </c>
      <c r="AS30" s="52">
        <f t="shared" si="5"/>
        <v>75.46875</v>
      </c>
      <c r="AT30" s="52">
        <f t="shared" si="6"/>
        <v>83.375988281250002</v>
      </c>
      <c r="AU30" s="50">
        <f t="shared" si="7"/>
        <v>13800</v>
      </c>
      <c r="AV30" s="50">
        <f t="shared" si="8"/>
        <v>690</v>
      </c>
      <c r="AW30" s="50">
        <f t="shared" si="9"/>
        <v>0</v>
      </c>
      <c r="AX30" s="50">
        <f t="shared" si="10"/>
        <v>0</v>
      </c>
      <c r="AY30" s="50">
        <f t="shared" si="11"/>
        <v>1149.54</v>
      </c>
      <c r="AZ30" s="50">
        <f t="shared" si="27"/>
        <v>690</v>
      </c>
      <c r="BA30" s="56">
        <f t="shared" si="12"/>
        <v>1333</v>
      </c>
      <c r="BB30" s="50">
        <f t="shared" si="13"/>
        <v>0</v>
      </c>
      <c r="BC30" s="50">
        <f t="shared" si="14"/>
        <v>0</v>
      </c>
      <c r="BD30" s="50">
        <f t="shared" si="28"/>
        <v>17662.54</v>
      </c>
      <c r="BE30" s="57">
        <f t="shared" si="15"/>
        <v>1600</v>
      </c>
      <c r="BF30" s="50">
        <f t="shared" si="29"/>
        <v>109</v>
      </c>
      <c r="BG30" s="58">
        <f t="shared" si="30"/>
        <v>200</v>
      </c>
      <c r="BH30" s="55">
        <f t="shared" si="16"/>
        <v>0</v>
      </c>
      <c r="BI30" s="55">
        <f t="shared" si="16"/>
        <v>0</v>
      </c>
      <c r="BJ30" s="55">
        <f t="shared" si="17"/>
        <v>360</v>
      </c>
      <c r="BK30" s="59">
        <v>25</v>
      </c>
      <c r="BL30" s="60">
        <f t="shared" si="18"/>
        <v>2294</v>
      </c>
      <c r="BM30" s="61">
        <f t="shared" si="19"/>
        <v>15369</v>
      </c>
      <c r="BN30" s="57">
        <f t="shared" si="20"/>
        <v>1733</v>
      </c>
      <c r="BO30" s="55">
        <f t="shared" si="31"/>
        <v>471</v>
      </c>
      <c r="BP30" s="55">
        <v>75</v>
      </c>
      <c r="BQ30" s="55">
        <v>300</v>
      </c>
      <c r="BR30" s="55">
        <f t="shared" si="32"/>
        <v>1324</v>
      </c>
      <c r="BS30" s="50">
        <f t="shared" si="21"/>
        <v>21565.54</v>
      </c>
    </row>
    <row r="31" spans="1:71" s="62" customFormat="1" ht="15.75" x14ac:dyDescent="0.25">
      <c r="A31" s="31">
        <v>23</v>
      </c>
      <c r="B31" s="32"/>
      <c r="C31" s="33" t="s">
        <v>257</v>
      </c>
      <c r="D31" s="34" t="s">
        <v>258</v>
      </c>
      <c r="E31" s="35" t="s">
        <v>259</v>
      </c>
      <c r="F31" s="35" t="s">
        <v>78</v>
      </c>
      <c r="G31" s="36" t="s">
        <v>260</v>
      </c>
      <c r="H31" s="37" t="s">
        <v>261</v>
      </c>
      <c r="I31" s="38" t="s">
        <v>81</v>
      </c>
      <c r="J31" s="39">
        <v>462912785530</v>
      </c>
      <c r="K31" s="40" t="s">
        <v>82</v>
      </c>
      <c r="L31" s="41">
        <v>80079551495</v>
      </c>
      <c r="M31" s="41" t="s">
        <v>84</v>
      </c>
      <c r="N31" s="42" t="s">
        <v>262</v>
      </c>
      <c r="O31" s="43" t="s">
        <v>263</v>
      </c>
      <c r="P31" s="44">
        <v>8767113870</v>
      </c>
      <c r="Q31" s="35"/>
      <c r="R31" s="35" t="s">
        <v>110</v>
      </c>
      <c r="S31" s="45" t="s">
        <v>88</v>
      </c>
      <c r="T31" s="45" t="s">
        <v>89</v>
      </c>
      <c r="U31" s="46" t="s">
        <v>90</v>
      </c>
      <c r="V31" s="47">
        <v>26</v>
      </c>
      <c r="W31" s="48">
        <v>0</v>
      </c>
      <c r="X31" s="48">
        <v>0</v>
      </c>
      <c r="Y31" s="49">
        <f t="shared" si="0"/>
        <v>26</v>
      </c>
      <c r="Z31" s="50"/>
      <c r="AA31" s="51"/>
      <c r="AB31" s="52">
        <f t="shared" si="1"/>
        <v>390</v>
      </c>
      <c r="AC31" s="51"/>
      <c r="AD31" s="51"/>
      <c r="AE31" s="53">
        <v>15525</v>
      </c>
      <c r="AF31" s="54">
        <f t="shared" si="2"/>
        <v>776.25</v>
      </c>
      <c r="AG31" s="53">
        <v>0</v>
      </c>
      <c r="AH31" s="53">
        <v>0</v>
      </c>
      <c r="AI31" s="55">
        <f t="shared" si="3"/>
        <v>1293.2325000000001</v>
      </c>
      <c r="AJ31" s="55">
        <f t="shared" si="22"/>
        <v>776.25</v>
      </c>
      <c r="AK31" s="50">
        <f t="shared" si="23"/>
        <v>18370.732499999998</v>
      </c>
      <c r="AL31" s="50">
        <v>1500</v>
      </c>
      <c r="AM31" s="50">
        <v>1950</v>
      </c>
      <c r="AN31" s="50">
        <f t="shared" si="24"/>
        <v>555.01875000000007</v>
      </c>
      <c r="AO31" s="50">
        <v>300</v>
      </c>
      <c r="AP31" s="50">
        <f t="shared" si="25"/>
        <v>1482.3025875000001</v>
      </c>
      <c r="AQ31" s="50">
        <f t="shared" si="26"/>
        <v>24158.053837499996</v>
      </c>
      <c r="AR31" s="52">
        <f t="shared" si="4"/>
        <v>894.74273472222205</v>
      </c>
      <c r="AS31" s="52">
        <f t="shared" si="5"/>
        <v>75.46875</v>
      </c>
      <c r="AT31" s="52">
        <f t="shared" si="6"/>
        <v>83.375988281250002</v>
      </c>
      <c r="AU31" s="50">
        <f t="shared" si="7"/>
        <v>14950</v>
      </c>
      <c r="AV31" s="50">
        <f t="shared" si="8"/>
        <v>747.5</v>
      </c>
      <c r="AW31" s="50">
        <f t="shared" si="9"/>
        <v>0</v>
      </c>
      <c r="AX31" s="50">
        <f t="shared" si="10"/>
        <v>0</v>
      </c>
      <c r="AY31" s="50">
        <f t="shared" si="11"/>
        <v>1245.335</v>
      </c>
      <c r="AZ31" s="50">
        <f t="shared" si="27"/>
        <v>747.5</v>
      </c>
      <c r="BA31" s="56">
        <f t="shared" si="12"/>
        <v>1444</v>
      </c>
      <c r="BB31" s="50">
        <f t="shared" si="13"/>
        <v>0</v>
      </c>
      <c r="BC31" s="50">
        <f t="shared" si="14"/>
        <v>0</v>
      </c>
      <c r="BD31" s="50">
        <f t="shared" si="28"/>
        <v>19134.334999999999</v>
      </c>
      <c r="BE31" s="57">
        <f t="shared" si="15"/>
        <v>1733</v>
      </c>
      <c r="BF31" s="50">
        <f t="shared" si="29"/>
        <v>118</v>
      </c>
      <c r="BG31" s="58">
        <f t="shared" si="30"/>
        <v>200</v>
      </c>
      <c r="BH31" s="55">
        <f t="shared" si="16"/>
        <v>0</v>
      </c>
      <c r="BI31" s="55">
        <f t="shared" si="16"/>
        <v>0</v>
      </c>
      <c r="BJ31" s="55">
        <f t="shared" si="17"/>
        <v>390</v>
      </c>
      <c r="BK31" s="59">
        <v>25</v>
      </c>
      <c r="BL31" s="60">
        <f t="shared" si="18"/>
        <v>2466</v>
      </c>
      <c r="BM31" s="61">
        <f t="shared" si="19"/>
        <v>16668</v>
      </c>
      <c r="BN31" s="57">
        <f t="shared" si="20"/>
        <v>1878</v>
      </c>
      <c r="BO31" s="55">
        <f t="shared" si="31"/>
        <v>510</v>
      </c>
      <c r="BP31" s="55">
        <v>75</v>
      </c>
      <c r="BQ31" s="55">
        <v>300</v>
      </c>
      <c r="BR31" s="55">
        <f t="shared" si="32"/>
        <v>1432</v>
      </c>
      <c r="BS31" s="50">
        <f t="shared" si="21"/>
        <v>23329.334999999999</v>
      </c>
    </row>
    <row r="32" spans="1:71" s="62" customFormat="1" ht="15.75" x14ac:dyDescent="0.25">
      <c r="A32" s="31">
        <v>24</v>
      </c>
      <c r="B32" s="32"/>
      <c r="C32" s="33" t="s">
        <v>264</v>
      </c>
      <c r="D32" s="34" t="s">
        <v>265</v>
      </c>
      <c r="E32" s="35" t="s">
        <v>266</v>
      </c>
      <c r="F32" s="35" t="s">
        <v>78</v>
      </c>
      <c r="G32" s="36" t="s">
        <v>199</v>
      </c>
      <c r="H32" s="37" t="s">
        <v>267</v>
      </c>
      <c r="I32" s="38" t="s">
        <v>81</v>
      </c>
      <c r="J32" s="39">
        <v>479181313552</v>
      </c>
      <c r="K32" s="40" t="s">
        <v>82</v>
      </c>
      <c r="L32" s="41">
        <v>80040949975</v>
      </c>
      <c r="M32" s="41" t="s">
        <v>84</v>
      </c>
      <c r="N32" s="42" t="s">
        <v>268</v>
      </c>
      <c r="O32" s="43" t="s">
        <v>269</v>
      </c>
      <c r="P32" s="44">
        <v>8263050853</v>
      </c>
      <c r="Q32" s="35"/>
      <c r="R32" s="35" t="s">
        <v>270</v>
      </c>
      <c r="S32" s="45" t="s">
        <v>88</v>
      </c>
      <c r="T32" s="45" t="s">
        <v>89</v>
      </c>
      <c r="U32" s="46" t="s">
        <v>90</v>
      </c>
      <c r="V32" s="47">
        <v>25</v>
      </c>
      <c r="W32" s="48">
        <v>0</v>
      </c>
      <c r="X32" s="48">
        <v>0</v>
      </c>
      <c r="Y32" s="49">
        <f t="shared" si="0"/>
        <v>25</v>
      </c>
      <c r="Z32" s="50"/>
      <c r="AA32" s="51"/>
      <c r="AB32" s="52">
        <f t="shared" si="1"/>
        <v>375</v>
      </c>
      <c r="AC32" s="51"/>
      <c r="AD32" s="51"/>
      <c r="AE32" s="53">
        <v>15525</v>
      </c>
      <c r="AF32" s="54">
        <f t="shared" si="2"/>
        <v>776.25</v>
      </c>
      <c r="AG32" s="53">
        <v>0</v>
      </c>
      <c r="AH32" s="53">
        <v>0</v>
      </c>
      <c r="AI32" s="55">
        <f t="shared" si="3"/>
        <v>1293.2325000000001</v>
      </c>
      <c r="AJ32" s="55">
        <f t="shared" si="22"/>
        <v>776.25</v>
      </c>
      <c r="AK32" s="50">
        <f t="shared" si="23"/>
        <v>18370.732499999998</v>
      </c>
      <c r="AL32" s="50">
        <v>1500</v>
      </c>
      <c r="AM32" s="50">
        <v>1950</v>
      </c>
      <c r="AN32" s="50">
        <f t="shared" si="24"/>
        <v>555.01875000000007</v>
      </c>
      <c r="AO32" s="50">
        <v>300</v>
      </c>
      <c r="AP32" s="50">
        <f t="shared" si="25"/>
        <v>1482.3025875000001</v>
      </c>
      <c r="AQ32" s="50">
        <f t="shared" si="26"/>
        <v>24158.053837499996</v>
      </c>
      <c r="AR32" s="52">
        <f t="shared" si="4"/>
        <v>894.74273472222205</v>
      </c>
      <c r="AS32" s="52">
        <f t="shared" si="5"/>
        <v>75.46875</v>
      </c>
      <c r="AT32" s="52">
        <f t="shared" si="6"/>
        <v>83.375988281250002</v>
      </c>
      <c r="AU32" s="50">
        <f t="shared" si="7"/>
        <v>14375</v>
      </c>
      <c r="AV32" s="50">
        <f t="shared" si="8"/>
        <v>718.75</v>
      </c>
      <c r="AW32" s="50">
        <f t="shared" si="9"/>
        <v>0</v>
      </c>
      <c r="AX32" s="50">
        <f t="shared" si="10"/>
        <v>0</v>
      </c>
      <c r="AY32" s="50">
        <f t="shared" si="11"/>
        <v>1197.4375</v>
      </c>
      <c r="AZ32" s="50">
        <f t="shared" si="27"/>
        <v>718.75</v>
      </c>
      <c r="BA32" s="56">
        <f t="shared" si="12"/>
        <v>1389</v>
      </c>
      <c r="BB32" s="50">
        <f t="shared" si="13"/>
        <v>0</v>
      </c>
      <c r="BC32" s="50">
        <f t="shared" si="14"/>
        <v>0</v>
      </c>
      <c r="BD32" s="50">
        <f t="shared" si="28"/>
        <v>18398.9375</v>
      </c>
      <c r="BE32" s="57">
        <f t="shared" si="15"/>
        <v>1667</v>
      </c>
      <c r="BF32" s="50">
        <f t="shared" si="29"/>
        <v>114</v>
      </c>
      <c r="BG32" s="58">
        <f t="shared" si="30"/>
        <v>200</v>
      </c>
      <c r="BH32" s="55">
        <f t="shared" si="16"/>
        <v>0</v>
      </c>
      <c r="BI32" s="55">
        <f t="shared" si="16"/>
        <v>0</v>
      </c>
      <c r="BJ32" s="55">
        <f t="shared" si="17"/>
        <v>375</v>
      </c>
      <c r="BK32" s="59">
        <v>25</v>
      </c>
      <c r="BL32" s="60">
        <f t="shared" si="18"/>
        <v>2381</v>
      </c>
      <c r="BM32" s="61">
        <f t="shared" si="19"/>
        <v>16018</v>
      </c>
      <c r="BN32" s="57">
        <f t="shared" si="20"/>
        <v>1806</v>
      </c>
      <c r="BO32" s="55">
        <f t="shared" si="31"/>
        <v>491</v>
      </c>
      <c r="BP32" s="55">
        <v>75</v>
      </c>
      <c r="BQ32" s="55">
        <v>300</v>
      </c>
      <c r="BR32" s="55">
        <f t="shared" si="32"/>
        <v>1378</v>
      </c>
      <c r="BS32" s="50">
        <f t="shared" si="21"/>
        <v>22448.9375</v>
      </c>
    </row>
    <row r="33" spans="1:73" s="62" customFormat="1" ht="15.75" x14ac:dyDescent="0.25">
      <c r="A33" s="31">
        <v>25</v>
      </c>
      <c r="B33" s="32"/>
      <c r="C33" s="33" t="s">
        <v>271</v>
      </c>
      <c r="D33" s="34" t="s">
        <v>272</v>
      </c>
      <c r="E33" s="35" t="s">
        <v>273</v>
      </c>
      <c r="F33" s="35" t="s">
        <v>78</v>
      </c>
      <c r="G33" s="36" t="s">
        <v>148</v>
      </c>
      <c r="H33" s="37" t="s">
        <v>274</v>
      </c>
      <c r="I33" s="38" t="s">
        <v>81</v>
      </c>
      <c r="J33" s="39">
        <v>305250632810</v>
      </c>
      <c r="K33" s="40" t="s">
        <v>96</v>
      </c>
      <c r="L33" s="41">
        <v>38205777904</v>
      </c>
      <c r="M33" s="41" t="s">
        <v>98</v>
      </c>
      <c r="N33" s="42" t="s">
        <v>275</v>
      </c>
      <c r="O33" s="43">
        <v>2504926166</v>
      </c>
      <c r="P33" s="44">
        <v>8805104216</v>
      </c>
      <c r="Q33" s="35"/>
      <c r="R33" s="35" t="s">
        <v>153</v>
      </c>
      <c r="S33" s="45" t="s">
        <v>88</v>
      </c>
      <c r="T33" s="45" t="s">
        <v>89</v>
      </c>
      <c r="U33" s="46" t="s">
        <v>90</v>
      </c>
      <c r="V33" s="47">
        <v>27</v>
      </c>
      <c r="W33" s="48">
        <v>0</v>
      </c>
      <c r="X33" s="48">
        <v>0</v>
      </c>
      <c r="Y33" s="49">
        <f t="shared" si="0"/>
        <v>27</v>
      </c>
      <c r="Z33" s="50"/>
      <c r="AA33" s="51"/>
      <c r="AB33" s="52">
        <f t="shared" si="1"/>
        <v>405</v>
      </c>
      <c r="AC33" s="51"/>
      <c r="AD33" s="51"/>
      <c r="AE33" s="53">
        <v>15525</v>
      </c>
      <c r="AF33" s="54">
        <f t="shared" si="2"/>
        <v>776.25</v>
      </c>
      <c r="AG33" s="53">
        <v>0</v>
      </c>
      <c r="AH33" s="53">
        <v>0</v>
      </c>
      <c r="AI33" s="55">
        <f t="shared" si="3"/>
        <v>1293.2325000000001</v>
      </c>
      <c r="AJ33" s="55">
        <f t="shared" si="22"/>
        <v>776.25</v>
      </c>
      <c r="AK33" s="50">
        <f t="shared" si="23"/>
        <v>18370.732499999998</v>
      </c>
      <c r="AL33" s="50">
        <v>1500</v>
      </c>
      <c r="AM33" s="50">
        <v>1950</v>
      </c>
      <c r="AN33" s="50">
        <f t="shared" si="24"/>
        <v>555.01875000000007</v>
      </c>
      <c r="AO33" s="50">
        <v>300</v>
      </c>
      <c r="AP33" s="50">
        <f t="shared" si="25"/>
        <v>1482.3025875000001</v>
      </c>
      <c r="AQ33" s="50">
        <f t="shared" si="26"/>
        <v>24158.053837499996</v>
      </c>
      <c r="AR33" s="52">
        <f t="shared" si="4"/>
        <v>894.74273472222205</v>
      </c>
      <c r="AS33" s="52">
        <f t="shared" si="5"/>
        <v>75.46875</v>
      </c>
      <c r="AT33" s="52">
        <f t="shared" si="6"/>
        <v>83.375988281250002</v>
      </c>
      <c r="AU33" s="50">
        <f t="shared" si="7"/>
        <v>15525</v>
      </c>
      <c r="AV33" s="50">
        <f t="shared" si="8"/>
        <v>776.25</v>
      </c>
      <c r="AW33" s="50">
        <f t="shared" si="9"/>
        <v>0</v>
      </c>
      <c r="AX33" s="50">
        <f t="shared" si="10"/>
        <v>0</v>
      </c>
      <c r="AY33" s="50">
        <f t="shared" si="11"/>
        <v>1293.2325000000001</v>
      </c>
      <c r="AZ33" s="50">
        <f t="shared" si="27"/>
        <v>776.25</v>
      </c>
      <c r="BA33" s="56">
        <f t="shared" si="12"/>
        <v>1500</v>
      </c>
      <c r="BB33" s="50">
        <f t="shared" si="13"/>
        <v>0</v>
      </c>
      <c r="BC33" s="50">
        <f t="shared" si="14"/>
        <v>0</v>
      </c>
      <c r="BD33" s="50">
        <f t="shared" si="28"/>
        <v>19870.732499999998</v>
      </c>
      <c r="BE33" s="57">
        <f t="shared" si="15"/>
        <v>1800</v>
      </c>
      <c r="BF33" s="50">
        <f t="shared" si="29"/>
        <v>123</v>
      </c>
      <c r="BG33" s="58">
        <f t="shared" si="30"/>
        <v>200</v>
      </c>
      <c r="BH33" s="55">
        <f t="shared" si="16"/>
        <v>0</v>
      </c>
      <c r="BI33" s="55">
        <f t="shared" si="16"/>
        <v>0</v>
      </c>
      <c r="BJ33" s="55">
        <f t="shared" si="17"/>
        <v>405</v>
      </c>
      <c r="BK33" s="59">
        <v>25</v>
      </c>
      <c r="BL33" s="60">
        <f t="shared" si="18"/>
        <v>2553</v>
      </c>
      <c r="BM33" s="61">
        <f t="shared" si="19"/>
        <v>17318</v>
      </c>
      <c r="BN33" s="57">
        <f t="shared" si="20"/>
        <v>1950</v>
      </c>
      <c r="BO33" s="55">
        <f t="shared" si="31"/>
        <v>530</v>
      </c>
      <c r="BP33" s="55">
        <v>75</v>
      </c>
      <c r="BQ33" s="55">
        <v>300</v>
      </c>
      <c r="BR33" s="55">
        <f t="shared" si="32"/>
        <v>1486</v>
      </c>
      <c r="BS33" s="50">
        <f t="shared" si="21"/>
        <v>24211.732499999998</v>
      </c>
    </row>
    <row r="34" spans="1:73" s="62" customFormat="1" ht="15.75" x14ac:dyDescent="0.25">
      <c r="A34" s="31">
        <v>26</v>
      </c>
      <c r="B34" s="32"/>
      <c r="C34" s="33" t="s">
        <v>276</v>
      </c>
      <c r="D34" s="34" t="s">
        <v>277</v>
      </c>
      <c r="E34" s="35" t="s">
        <v>278</v>
      </c>
      <c r="F34" s="35" t="s">
        <v>78</v>
      </c>
      <c r="G34" s="36" t="s">
        <v>122</v>
      </c>
      <c r="H34" s="37" t="s">
        <v>279</v>
      </c>
      <c r="I34" s="38" t="s">
        <v>81</v>
      </c>
      <c r="J34" s="39">
        <v>484175732312</v>
      </c>
      <c r="K34" s="40" t="s">
        <v>107</v>
      </c>
      <c r="L34" s="41">
        <v>2256654720</v>
      </c>
      <c r="M34" s="41" t="s">
        <v>246</v>
      </c>
      <c r="N34" s="42" t="s">
        <v>280</v>
      </c>
      <c r="O34" s="43" t="s">
        <v>281</v>
      </c>
      <c r="P34" s="44">
        <v>9545153838</v>
      </c>
      <c r="Q34" s="35"/>
      <c r="R34" s="35" t="s">
        <v>110</v>
      </c>
      <c r="S34" s="45" t="s">
        <v>88</v>
      </c>
      <c r="T34" s="45" t="s">
        <v>89</v>
      </c>
      <c r="U34" s="46" t="s">
        <v>90</v>
      </c>
      <c r="V34" s="47">
        <v>26.5</v>
      </c>
      <c r="W34" s="48">
        <v>0</v>
      </c>
      <c r="X34" s="48">
        <v>0</v>
      </c>
      <c r="Y34" s="49">
        <f t="shared" si="0"/>
        <v>26.5</v>
      </c>
      <c r="Z34" s="50"/>
      <c r="AA34" s="51"/>
      <c r="AB34" s="52">
        <f t="shared" si="1"/>
        <v>397.5</v>
      </c>
      <c r="AC34" s="51"/>
      <c r="AD34" s="51"/>
      <c r="AE34" s="53">
        <v>15525</v>
      </c>
      <c r="AF34" s="54">
        <f t="shared" si="2"/>
        <v>776.25</v>
      </c>
      <c r="AG34" s="53">
        <v>0</v>
      </c>
      <c r="AH34" s="53">
        <v>1000</v>
      </c>
      <c r="AI34" s="55">
        <f t="shared" si="3"/>
        <v>1293.2325000000001</v>
      </c>
      <c r="AJ34" s="55">
        <f t="shared" si="22"/>
        <v>776.25</v>
      </c>
      <c r="AK34" s="50">
        <f t="shared" si="23"/>
        <v>19370.732499999998</v>
      </c>
      <c r="AL34" s="50">
        <v>1500</v>
      </c>
      <c r="AM34" s="50">
        <v>1950</v>
      </c>
      <c r="AN34" s="50">
        <f t="shared" si="24"/>
        <v>587.51875000000007</v>
      </c>
      <c r="AO34" s="50">
        <v>300</v>
      </c>
      <c r="AP34" s="50">
        <f t="shared" si="25"/>
        <v>1554.5775874999999</v>
      </c>
      <c r="AQ34" s="50">
        <f t="shared" si="26"/>
        <v>25262.828837499997</v>
      </c>
      <c r="AR34" s="52">
        <f t="shared" si="4"/>
        <v>935.66032731481471</v>
      </c>
      <c r="AS34" s="52">
        <f t="shared" si="5"/>
        <v>75.46875</v>
      </c>
      <c r="AT34" s="52">
        <f t="shared" si="6"/>
        <v>83.375988281250002</v>
      </c>
      <c r="AU34" s="50">
        <f t="shared" si="7"/>
        <v>15237.5</v>
      </c>
      <c r="AV34" s="50">
        <f t="shared" si="8"/>
        <v>761.875</v>
      </c>
      <c r="AW34" s="50">
        <f t="shared" si="9"/>
        <v>0</v>
      </c>
      <c r="AX34" s="50">
        <f t="shared" si="10"/>
        <v>981.48148148148152</v>
      </c>
      <c r="AY34" s="50">
        <f t="shared" si="11"/>
        <v>1269.2837500000001</v>
      </c>
      <c r="AZ34" s="50">
        <f t="shared" si="27"/>
        <v>761.875</v>
      </c>
      <c r="BA34" s="56">
        <f t="shared" si="12"/>
        <v>1472</v>
      </c>
      <c r="BB34" s="50">
        <f t="shared" si="13"/>
        <v>0</v>
      </c>
      <c r="BC34" s="50">
        <f t="shared" si="14"/>
        <v>0</v>
      </c>
      <c r="BD34" s="50">
        <f t="shared" si="28"/>
        <v>20484.01523148148</v>
      </c>
      <c r="BE34" s="57">
        <f t="shared" si="15"/>
        <v>1767</v>
      </c>
      <c r="BF34" s="50">
        <f t="shared" si="29"/>
        <v>128</v>
      </c>
      <c r="BG34" s="58">
        <f t="shared" si="30"/>
        <v>200</v>
      </c>
      <c r="BH34" s="55">
        <f t="shared" si="16"/>
        <v>0</v>
      </c>
      <c r="BI34" s="55">
        <f t="shared" si="16"/>
        <v>0</v>
      </c>
      <c r="BJ34" s="55">
        <f t="shared" si="17"/>
        <v>397.5</v>
      </c>
      <c r="BK34" s="59">
        <v>25</v>
      </c>
      <c r="BL34" s="60">
        <f t="shared" si="18"/>
        <v>2517.5</v>
      </c>
      <c r="BM34" s="61">
        <f t="shared" si="19"/>
        <v>17967</v>
      </c>
      <c r="BN34" s="57">
        <f t="shared" si="20"/>
        <v>1914</v>
      </c>
      <c r="BO34" s="55">
        <f t="shared" si="31"/>
        <v>552</v>
      </c>
      <c r="BP34" s="55">
        <v>75</v>
      </c>
      <c r="BQ34" s="55">
        <v>300</v>
      </c>
      <c r="BR34" s="55">
        <f t="shared" si="32"/>
        <v>1530</v>
      </c>
      <c r="BS34" s="50">
        <f t="shared" si="21"/>
        <v>24855.01523148148</v>
      </c>
    </row>
    <row r="35" spans="1:73" s="62" customFormat="1" ht="15.75" x14ac:dyDescent="0.25">
      <c r="A35" s="31">
        <v>27</v>
      </c>
      <c r="B35" s="32"/>
      <c r="C35" s="33" t="s">
        <v>282</v>
      </c>
      <c r="D35" s="34" t="s">
        <v>283</v>
      </c>
      <c r="E35" s="35" t="s">
        <v>284</v>
      </c>
      <c r="F35" s="35" t="s">
        <v>78</v>
      </c>
      <c r="G35" s="36" t="s">
        <v>122</v>
      </c>
      <c r="H35" s="37" t="s">
        <v>285</v>
      </c>
      <c r="I35" s="38" t="s">
        <v>81</v>
      </c>
      <c r="J35" s="39"/>
      <c r="K35" s="40" t="s">
        <v>107</v>
      </c>
      <c r="L35" s="41">
        <v>2256646505</v>
      </c>
      <c r="M35" s="41" t="s">
        <v>124</v>
      </c>
      <c r="N35" s="42" t="s">
        <v>286</v>
      </c>
      <c r="O35" s="43" t="s">
        <v>287</v>
      </c>
      <c r="P35" s="44">
        <v>9172952625</v>
      </c>
      <c r="Q35" s="35"/>
      <c r="R35" s="35" t="s">
        <v>195</v>
      </c>
      <c r="S35" s="45" t="s">
        <v>88</v>
      </c>
      <c r="T35" s="45" t="s">
        <v>89</v>
      </c>
      <c r="U35" s="46" t="s">
        <v>90</v>
      </c>
      <c r="V35" s="47">
        <v>27</v>
      </c>
      <c r="W35" s="48">
        <v>0</v>
      </c>
      <c r="X35" s="48">
        <v>0</v>
      </c>
      <c r="Y35" s="49">
        <f t="shared" si="0"/>
        <v>27</v>
      </c>
      <c r="Z35" s="50"/>
      <c r="AA35" s="51"/>
      <c r="AB35" s="52">
        <f t="shared" si="1"/>
        <v>405</v>
      </c>
      <c r="AC35" s="51"/>
      <c r="AD35" s="51"/>
      <c r="AE35" s="53">
        <v>15525</v>
      </c>
      <c r="AF35" s="54">
        <f t="shared" si="2"/>
        <v>776.25</v>
      </c>
      <c r="AG35" s="53">
        <v>0</v>
      </c>
      <c r="AH35" s="53">
        <v>0</v>
      </c>
      <c r="AI35" s="55">
        <f t="shared" si="3"/>
        <v>1293.2325000000001</v>
      </c>
      <c r="AJ35" s="55">
        <f t="shared" si="22"/>
        <v>776.25</v>
      </c>
      <c r="AK35" s="50">
        <f t="shared" si="23"/>
        <v>18370.732499999998</v>
      </c>
      <c r="AL35" s="50">
        <v>1500</v>
      </c>
      <c r="AM35" s="50">
        <v>1950</v>
      </c>
      <c r="AN35" s="50">
        <f t="shared" si="24"/>
        <v>555.01875000000007</v>
      </c>
      <c r="AO35" s="50">
        <v>300</v>
      </c>
      <c r="AP35" s="50">
        <f t="shared" si="25"/>
        <v>1482.3025875000001</v>
      </c>
      <c r="AQ35" s="50">
        <f t="shared" si="26"/>
        <v>24158.053837499996</v>
      </c>
      <c r="AR35" s="52">
        <f t="shared" si="4"/>
        <v>894.74273472222205</v>
      </c>
      <c r="AS35" s="52">
        <f t="shared" si="5"/>
        <v>75.46875</v>
      </c>
      <c r="AT35" s="52">
        <f t="shared" si="6"/>
        <v>83.375988281250002</v>
      </c>
      <c r="AU35" s="50">
        <f t="shared" si="7"/>
        <v>15525</v>
      </c>
      <c r="AV35" s="50">
        <f t="shared" si="8"/>
        <v>776.25</v>
      </c>
      <c r="AW35" s="50">
        <f t="shared" si="9"/>
        <v>0</v>
      </c>
      <c r="AX35" s="50">
        <f t="shared" si="10"/>
        <v>0</v>
      </c>
      <c r="AY35" s="50">
        <f t="shared" si="11"/>
        <v>1293.2325000000001</v>
      </c>
      <c r="AZ35" s="50">
        <f t="shared" si="27"/>
        <v>776.25</v>
      </c>
      <c r="BA35" s="56">
        <f t="shared" si="12"/>
        <v>1500</v>
      </c>
      <c r="BB35" s="50">
        <f t="shared" si="13"/>
        <v>0</v>
      </c>
      <c r="BC35" s="50">
        <f t="shared" si="14"/>
        <v>0</v>
      </c>
      <c r="BD35" s="50">
        <f t="shared" si="28"/>
        <v>19870.732499999998</v>
      </c>
      <c r="BE35" s="57">
        <f t="shared" si="15"/>
        <v>1800</v>
      </c>
      <c r="BF35" s="50">
        <f t="shared" si="29"/>
        <v>123</v>
      </c>
      <c r="BG35" s="58">
        <f t="shared" si="30"/>
        <v>200</v>
      </c>
      <c r="BH35" s="55">
        <f t="shared" ref="BH35:BI55" si="33">AC35</f>
        <v>0</v>
      </c>
      <c r="BI35" s="55">
        <f t="shared" si="33"/>
        <v>0</v>
      </c>
      <c r="BJ35" s="55">
        <f t="shared" si="17"/>
        <v>405</v>
      </c>
      <c r="BK35" s="59">
        <v>25</v>
      </c>
      <c r="BL35" s="60">
        <f t="shared" si="18"/>
        <v>2553</v>
      </c>
      <c r="BM35" s="61">
        <f t="shared" si="19"/>
        <v>17318</v>
      </c>
      <c r="BN35" s="57">
        <f t="shared" si="20"/>
        <v>1950</v>
      </c>
      <c r="BO35" s="55">
        <f t="shared" si="31"/>
        <v>530</v>
      </c>
      <c r="BP35" s="55">
        <v>75</v>
      </c>
      <c r="BQ35" s="55">
        <v>300</v>
      </c>
      <c r="BR35" s="55">
        <f t="shared" si="32"/>
        <v>1486</v>
      </c>
      <c r="BS35" s="50">
        <f t="shared" si="21"/>
        <v>24211.732499999998</v>
      </c>
    </row>
    <row r="36" spans="1:73" ht="15.75" x14ac:dyDescent="0.25">
      <c r="A36" s="31">
        <v>28</v>
      </c>
      <c r="B36" s="67"/>
      <c r="C36" s="33" t="s">
        <v>288</v>
      </c>
      <c r="D36" s="34" t="s">
        <v>289</v>
      </c>
      <c r="E36" s="35" t="s">
        <v>290</v>
      </c>
      <c r="F36" s="35" t="s">
        <v>78</v>
      </c>
      <c r="G36" s="36" t="s">
        <v>199</v>
      </c>
      <c r="H36" s="37" t="s">
        <v>291</v>
      </c>
      <c r="I36" s="38" t="s">
        <v>292</v>
      </c>
      <c r="J36" s="39">
        <v>355997268896</v>
      </c>
      <c r="K36" s="40" t="s">
        <v>82</v>
      </c>
      <c r="L36" s="41" t="s">
        <v>293</v>
      </c>
      <c r="M36" s="41" t="s">
        <v>84</v>
      </c>
      <c r="N36" s="42" t="s">
        <v>294</v>
      </c>
      <c r="O36" s="43">
        <v>2504714436</v>
      </c>
      <c r="P36" s="44">
        <v>8468868242</v>
      </c>
      <c r="Q36" s="68"/>
      <c r="R36" s="35" t="s">
        <v>218</v>
      </c>
      <c r="S36" s="45" t="s">
        <v>88</v>
      </c>
      <c r="T36" s="45" t="s">
        <v>89</v>
      </c>
      <c r="U36" s="46" t="s">
        <v>90</v>
      </c>
      <c r="V36" s="47">
        <v>25.5</v>
      </c>
      <c r="W36" s="48">
        <v>0</v>
      </c>
      <c r="X36" s="48">
        <v>0</v>
      </c>
      <c r="Y36" s="49">
        <f t="shared" si="0"/>
        <v>25.5</v>
      </c>
      <c r="Z36" s="50"/>
      <c r="AA36" s="49"/>
      <c r="AB36" s="52">
        <f t="shared" si="1"/>
        <v>382.5</v>
      </c>
      <c r="AC36" s="49"/>
      <c r="AD36" s="49"/>
      <c r="AE36" s="53">
        <v>15525</v>
      </c>
      <c r="AF36" s="54">
        <f t="shared" si="2"/>
        <v>776.25</v>
      </c>
      <c r="AG36" s="53">
        <v>0</v>
      </c>
      <c r="AH36" s="53">
        <v>0</v>
      </c>
      <c r="AI36" s="55">
        <f t="shared" si="3"/>
        <v>1293.2325000000001</v>
      </c>
      <c r="AJ36" s="55">
        <f t="shared" si="22"/>
        <v>776.25</v>
      </c>
      <c r="AK36" s="50">
        <f t="shared" si="23"/>
        <v>18370.732499999998</v>
      </c>
      <c r="AL36" s="50">
        <v>1500</v>
      </c>
      <c r="AM36" s="50">
        <v>1950</v>
      </c>
      <c r="AN36" s="50">
        <f t="shared" si="24"/>
        <v>555.01875000000007</v>
      </c>
      <c r="AO36" s="50">
        <v>300</v>
      </c>
      <c r="AP36" s="50">
        <f t="shared" si="25"/>
        <v>1482.3025875000001</v>
      </c>
      <c r="AQ36" s="50">
        <f t="shared" si="26"/>
        <v>24158.053837499996</v>
      </c>
      <c r="AR36" s="69">
        <f t="shared" si="4"/>
        <v>894.74273472222205</v>
      </c>
      <c r="AS36" s="69">
        <f t="shared" si="5"/>
        <v>75.46875</v>
      </c>
      <c r="AT36" s="69">
        <f t="shared" si="6"/>
        <v>83.375988281250002</v>
      </c>
      <c r="AU36" s="57">
        <f t="shared" si="7"/>
        <v>14662.5</v>
      </c>
      <c r="AV36" s="57">
        <f t="shared" si="8"/>
        <v>733.125</v>
      </c>
      <c r="AW36" s="57">
        <f t="shared" si="9"/>
        <v>0</v>
      </c>
      <c r="AX36" s="50">
        <f t="shared" si="10"/>
        <v>0</v>
      </c>
      <c r="AY36" s="50">
        <f t="shared" si="11"/>
        <v>1221.38625</v>
      </c>
      <c r="AZ36" s="50">
        <f t="shared" si="27"/>
        <v>733.125</v>
      </c>
      <c r="BA36" s="56">
        <f t="shared" si="12"/>
        <v>1417</v>
      </c>
      <c r="BB36" s="57">
        <f t="shared" si="13"/>
        <v>0</v>
      </c>
      <c r="BC36" s="57">
        <f t="shared" si="14"/>
        <v>0</v>
      </c>
      <c r="BD36" s="50">
        <f t="shared" si="28"/>
        <v>18767.13625</v>
      </c>
      <c r="BE36" s="57">
        <f t="shared" si="15"/>
        <v>1700</v>
      </c>
      <c r="BF36" s="50">
        <f t="shared" si="29"/>
        <v>116</v>
      </c>
      <c r="BG36" s="58">
        <f t="shared" si="30"/>
        <v>200</v>
      </c>
      <c r="BH36" s="60">
        <f t="shared" si="33"/>
        <v>0</v>
      </c>
      <c r="BI36" s="60">
        <f t="shared" si="33"/>
        <v>0</v>
      </c>
      <c r="BJ36" s="60">
        <f t="shared" si="17"/>
        <v>382.5</v>
      </c>
      <c r="BK36" s="59">
        <v>25</v>
      </c>
      <c r="BL36" s="60">
        <f t="shared" si="18"/>
        <v>2423.5</v>
      </c>
      <c r="BM36" s="61">
        <f t="shared" si="19"/>
        <v>16344</v>
      </c>
      <c r="BN36" s="57">
        <f t="shared" si="20"/>
        <v>1842</v>
      </c>
      <c r="BO36" s="55">
        <f t="shared" si="31"/>
        <v>500</v>
      </c>
      <c r="BP36" s="55">
        <v>75</v>
      </c>
      <c r="BQ36" s="55">
        <v>300</v>
      </c>
      <c r="BR36" s="55">
        <f t="shared" si="32"/>
        <v>1405</v>
      </c>
      <c r="BS36" s="50">
        <f t="shared" si="21"/>
        <v>22889.13625</v>
      </c>
    </row>
    <row r="37" spans="1:73" s="62" customFormat="1" ht="15.75" x14ac:dyDescent="0.25">
      <c r="A37" s="31">
        <v>29</v>
      </c>
      <c r="B37" s="32"/>
      <c r="C37" s="33" t="s">
        <v>295</v>
      </c>
      <c r="D37" s="70" t="s">
        <v>296</v>
      </c>
      <c r="E37" s="35" t="s">
        <v>297</v>
      </c>
      <c r="F37" s="35" t="s">
        <v>78</v>
      </c>
      <c r="G37" s="36" t="s">
        <v>199</v>
      </c>
      <c r="H37" s="37" t="s">
        <v>298</v>
      </c>
      <c r="I37" s="38" t="s">
        <v>299</v>
      </c>
      <c r="J37" s="39">
        <v>523092665840</v>
      </c>
      <c r="K37" s="40" t="s">
        <v>82</v>
      </c>
      <c r="L37" s="41" t="s">
        <v>300</v>
      </c>
      <c r="M37" s="41" t="s">
        <v>84</v>
      </c>
      <c r="N37" s="37" t="s">
        <v>301</v>
      </c>
      <c r="O37" s="71">
        <v>2504715821</v>
      </c>
      <c r="P37" s="44">
        <v>9607272893</v>
      </c>
      <c r="Q37" s="40"/>
      <c r="R37" s="35" t="s">
        <v>110</v>
      </c>
      <c r="S37" s="45" t="s">
        <v>88</v>
      </c>
      <c r="T37" s="45" t="s">
        <v>89</v>
      </c>
      <c r="U37" s="46" t="s">
        <v>90</v>
      </c>
      <c r="V37" s="47">
        <v>24</v>
      </c>
      <c r="W37" s="48">
        <v>0</v>
      </c>
      <c r="X37" s="48">
        <v>0</v>
      </c>
      <c r="Y37" s="49">
        <f t="shared" si="0"/>
        <v>24</v>
      </c>
      <c r="Z37" s="50"/>
      <c r="AA37" s="51"/>
      <c r="AB37" s="52">
        <f t="shared" si="1"/>
        <v>360</v>
      </c>
      <c r="AC37" s="51"/>
      <c r="AD37" s="51"/>
      <c r="AE37" s="53">
        <v>15525</v>
      </c>
      <c r="AF37" s="54">
        <f t="shared" si="2"/>
        <v>776.25</v>
      </c>
      <c r="AG37" s="53">
        <v>0</v>
      </c>
      <c r="AH37" s="53">
        <v>0</v>
      </c>
      <c r="AI37" s="55">
        <f>AE37*8.33%</f>
        <v>1293.2325000000001</v>
      </c>
      <c r="AJ37" s="55">
        <f t="shared" si="22"/>
        <v>776.25</v>
      </c>
      <c r="AK37" s="50">
        <f t="shared" si="23"/>
        <v>18370.732499999998</v>
      </c>
      <c r="AL37" s="50">
        <v>1500</v>
      </c>
      <c r="AM37" s="50">
        <v>1950</v>
      </c>
      <c r="AN37" s="50">
        <f t="shared" si="24"/>
        <v>555.01875000000007</v>
      </c>
      <c r="AO37" s="50">
        <v>300</v>
      </c>
      <c r="AP37" s="50">
        <f t="shared" si="25"/>
        <v>1482.3025875000001</v>
      </c>
      <c r="AQ37" s="50">
        <f t="shared" si="26"/>
        <v>24158.053837499996</v>
      </c>
      <c r="AR37" s="52">
        <f t="shared" si="4"/>
        <v>894.74273472222205</v>
      </c>
      <c r="AS37" s="52">
        <f t="shared" si="5"/>
        <v>75.46875</v>
      </c>
      <c r="AT37" s="52">
        <f t="shared" si="6"/>
        <v>83.375988281250002</v>
      </c>
      <c r="AU37" s="50">
        <f t="shared" si="7"/>
        <v>13800</v>
      </c>
      <c r="AV37" s="50">
        <f t="shared" si="8"/>
        <v>690</v>
      </c>
      <c r="AW37" s="50">
        <f t="shared" si="9"/>
        <v>0</v>
      </c>
      <c r="AX37" s="50">
        <f t="shared" si="10"/>
        <v>0</v>
      </c>
      <c r="AY37" s="50">
        <f t="shared" si="11"/>
        <v>1149.54</v>
      </c>
      <c r="AZ37" s="50">
        <f t="shared" si="27"/>
        <v>690</v>
      </c>
      <c r="BA37" s="56">
        <f t="shared" si="12"/>
        <v>1333</v>
      </c>
      <c r="BB37" s="50">
        <f t="shared" si="13"/>
        <v>0</v>
      </c>
      <c r="BC37" s="50">
        <f t="shared" si="14"/>
        <v>0</v>
      </c>
      <c r="BD37" s="50">
        <f t="shared" si="28"/>
        <v>17662.54</v>
      </c>
      <c r="BE37" s="50">
        <f t="shared" si="15"/>
        <v>1600</v>
      </c>
      <c r="BF37" s="50">
        <f t="shared" si="29"/>
        <v>109</v>
      </c>
      <c r="BG37" s="58">
        <f t="shared" si="30"/>
        <v>200</v>
      </c>
      <c r="BH37" s="55">
        <f t="shared" si="33"/>
        <v>0</v>
      </c>
      <c r="BI37" s="55">
        <f t="shared" si="33"/>
        <v>0</v>
      </c>
      <c r="BJ37" s="55">
        <f t="shared" si="17"/>
        <v>360</v>
      </c>
      <c r="BK37" s="59">
        <v>25</v>
      </c>
      <c r="BL37" s="55">
        <f t="shared" si="18"/>
        <v>2294</v>
      </c>
      <c r="BM37" s="61">
        <f t="shared" si="19"/>
        <v>15369</v>
      </c>
      <c r="BN37" s="50">
        <f t="shared" si="20"/>
        <v>1733</v>
      </c>
      <c r="BO37" s="55">
        <f t="shared" si="31"/>
        <v>471</v>
      </c>
      <c r="BP37" s="55">
        <v>75</v>
      </c>
      <c r="BQ37" s="55">
        <v>300</v>
      </c>
      <c r="BR37" s="55">
        <f t="shared" si="32"/>
        <v>1324</v>
      </c>
      <c r="BS37" s="50">
        <f t="shared" si="21"/>
        <v>21565.54</v>
      </c>
    </row>
    <row r="38" spans="1:73" ht="15.75" x14ac:dyDescent="0.25">
      <c r="A38" s="31">
        <v>30</v>
      </c>
      <c r="B38" s="67"/>
      <c r="C38" s="33" t="s">
        <v>302</v>
      </c>
      <c r="D38" s="34" t="s">
        <v>303</v>
      </c>
      <c r="E38" s="35" t="s">
        <v>304</v>
      </c>
      <c r="F38" s="35" t="s">
        <v>78</v>
      </c>
      <c r="G38" s="36" t="s">
        <v>305</v>
      </c>
      <c r="H38" s="37" t="s">
        <v>306</v>
      </c>
      <c r="I38" s="38" t="s">
        <v>299</v>
      </c>
      <c r="J38" s="39">
        <v>443099691091</v>
      </c>
      <c r="K38" s="40" t="s">
        <v>107</v>
      </c>
      <c r="L38" s="41" t="s">
        <v>307</v>
      </c>
      <c r="M38" s="41" t="s">
        <v>246</v>
      </c>
      <c r="N38" s="42" t="s">
        <v>308</v>
      </c>
      <c r="O38" s="43" t="s">
        <v>309</v>
      </c>
      <c r="P38" s="44">
        <v>8459842188</v>
      </c>
      <c r="Q38" s="68"/>
      <c r="R38" s="35" t="s">
        <v>218</v>
      </c>
      <c r="S38" s="45" t="s">
        <v>88</v>
      </c>
      <c r="T38" s="45" t="s">
        <v>89</v>
      </c>
      <c r="U38" s="46" t="s">
        <v>90</v>
      </c>
      <c r="V38" s="47">
        <v>26</v>
      </c>
      <c r="W38" s="48">
        <v>0</v>
      </c>
      <c r="X38" s="48">
        <v>0</v>
      </c>
      <c r="Y38" s="49">
        <f t="shared" si="0"/>
        <v>26</v>
      </c>
      <c r="Z38" s="50"/>
      <c r="AA38" s="49"/>
      <c r="AB38" s="52">
        <f t="shared" si="1"/>
        <v>390</v>
      </c>
      <c r="AC38" s="49"/>
      <c r="AD38" s="49"/>
      <c r="AE38" s="53">
        <v>15525</v>
      </c>
      <c r="AF38" s="54">
        <f t="shared" si="2"/>
        <v>776.25</v>
      </c>
      <c r="AG38" s="53">
        <v>0</v>
      </c>
      <c r="AH38" s="53">
        <v>0</v>
      </c>
      <c r="AI38" s="55">
        <f t="shared" ref="AI38:AI101" si="34">AE38*8.33%</f>
        <v>1293.2325000000001</v>
      </c>
      <c r="AJ38" s="55">
        <f t="shared" si="22"/>
        <v>776.25</v>
      </c>
      <c r="AK38" s="50">
        <f t="shared" si="23"/>
        <v>18370.732499999998</v>
      </c>
      <c r="AL38" s="50">
        <v>1500</v>
      </c>
      <c r="AM38" s="50">
        <v>1950</v>
      </c>
      <c r="AN38" s="50">
        <f t="shared" si="24"/>
        <v>555.01875000000007</v>
      </c>
      <c r="AO38" s="50">
        <v>300</v>
      </c>
      <c r="AP38" s="50">
        <f t="shared" si="25"/>
        <v>1482.3025875000001</v>
      </c>
      <c r="AQ38" s="50">
        <f t="shared" si="26"/>
        <v>24158.053837499996</v>
      </c>
      <c r="AR38" s="69">
        <f t="shared" si="4"/>
        <v>894.74273472222205</v>
      </c>
      <c r="AS38" s="69">
        <f t="shared" si="5"/>
        <v>75.46875</v>
      </c>
      <c r="AT38" s="69">
        <f t="shared" si="6"/>
        <v>83.375988281250002</v>
      </c>
      <c r="AU38" s="57">
        <f t="shared" si="7"/>
        <v>14950</v>
      </c>
      <c r="AV38" s="57">
        <f t="shared" si="8"/>
        <v>747.5</v>
      </c>
      <c r="AW38" s="57">
        <f t="shared" si="9"/>
        <v>0</v>
      </c>
      <c r="AX38" s="50">
        <f t="shared" si="10"/>
        <v>0</v>
      </c>
      <c r="AY38" s="50">
        <f t="shared" si="11"/>
        <v>1245.335</v>
      </c>
      <c r="AZ38" s="50">
        <f t="shared" si="27"/>
        <v>747.5</v>
      </c>
      <c r="BA38" s="56">
        <f t="shared" si="12"/>
        <v>1444</v>
      </c>
      <c r="BB38" s="57">
        <f t="shared" si="13"/>
        <v>0</v>
      </c>
      <c r="BC38" s="57">
        <f t="shared" si="14"/>
        <v>0</v>
      </c>
      <c r="BD38" s="50">
        <f t="shared" si="28"/>
        <v>19134.334999999999</v>
      </c>
      <c r="BE38" s="57">
        <f t="shared" si="15"/>
        <v>1733</v>
      </c>
      <c r="BF38" s="50">
        <f t="shared" si="29"/>
        <v>118</v>
      </c>
      <c r="BG38" s="58">
        <f t="shared" si="30"/>
        <v>200</v>
      </c>
      <c r="BH38" s="60">
        <f t="shared" si="33"/>
        <v>0</v>
      </c>
      <c r="BI38" s="60">
        <f t="shared" si="33"/>
        <v>0</v>
      </c>
      <c r="BJ38" s="60">
        <f t="shared" si="17"/>
        <v>390</v>
      </c>
      <c r="BK38" s="59">
        <v>25</v>
      </c>
      <c r="BL38" s="60">
        <f t="shared" si="18"/>
        <v>2466</v>
      </c>
      <c r="BM38" s="61">
        <f t="shared" si="19"/>
        <v>16668</v>
      </c>
      <c r="BN38" s="57">
        <f t="shared" si="20"/>
        <v>1878</v>
      </c>
      <c r="BO38" s="55">
        <f t="shared" si="31"/>
        <v>510</v>
      </c>
      <c r="BP38" s="55">
        <v>75</v>
      </c>
      <c r="BQ38" s="55">
        <v>300</v>
      </c>
      <c r="BR38" s="55">
        <f t="shared" si="32"/>
        <v>1432</v>
      </c>
      <c r="BS38" s="50">
        <f t="shared" si="21"/>
        <v>23329.334999999999</v>
      </c>
    </row>
    <row r="39" spans="1:73" s="62" customFormat="1" ht="15.75" x14ac:dyDescent="0.25">
      <c r="A39" s="31">
        <v>31</v>
      </c>
      <c r="B39" s="32"/>
      <c r="C39" s="33" t="s">
        <v>310</v>
      </c>
      <c r="D39" s="34" t="s">
        <v>311</v>
      </c>
      <c r="E39" s="35" t="s">
        <v>312</v>
      </c>
      <c r="F39" s="35" t="s">
        <v>78</v>
      </c>
      <c r="G39" s="36" t="s">
        <v>313</v>
      </c>
      <c r="H39" s="37" t="s">
        <v>314</v>
      </c>
      <c r="I39" s="38" t="s">
        <v>299</v>
      </c>
      <c r="J39" s="39">
        <v>870541692376</v>
      </c>
      <c r="K39" s="40" t="s">
        <v>96</v>
      </c>
      <c r="L39" s="41" t="s">
        <v>315</v>
      </c>
      <c r="M39" s="41" t="s">
        <v>316</v>
      </c>
      <c r="N39" s="42" t="s">
        <v>317</v>
      </c>
      <c r="O39" s="43" t="s">
        <v>318</v>
      </c>
      <c r="P39" s="44">
        <v>9309379294</v>
      </c>
      <c r="Q39" s="40"/>
      <c r="R39" s="35" t="s">
        <v>319</v>
      </c>
      <c r="S39" s="45" t="s">
        <v>88</v>
      </c>
      <c r="T39" s="45" t="s">
        <v>89</v>
      </c>
      <c r="U39" s="46" t="s">
        <v>90</v>
      </c>
      <c r="V39" s="47">
        <v>27</v>
      </c>
      <c r="W39" s="48">
        <v>0</v>
      </c>
      <c r="X39" s="48">
        <v>0</v>
      </c>
      <c r="Y39" s="49">
        <f t="shared" si="0"/>
        <v>27</v>
      </c>
      <c r="Z39" s="50"/>
      <c r="AA39" s="51"/>
      <c r="AB39" s="52">
        <f t="shared" si="1"/>
        <v>405</v>
      </c>
      <c r="AC39" s="51"/>
      <c r="AD39" s="51"/>
      <c r="AE39" s="53">
        <v>15525</v>
      </c>
      <c r="AF39" s="54">
        <f t="shared" si="2"/>
        <v>776.25</v>
      </c>
      <c r="AG39" s="53">
        <v>0</v>
      </c>
      <c r="AH39" s="53">
        <v>0</v>
      </c>
      <c r="AI39" s="55">
        <f t="shared" si="34"/>
        <v>1293.2325000000001</v>
      </c>
      <c r="AJ39" s="55">
        <f t="shared" si="22"/>
        <v>776.25</v>
      </c>
      <c r="AK39" s="50">
        <f t="shared" si="23"/>
        <v>18370.732499999998</v>
      </c>
      <c r="AL39" s="50">
        <v>1500</v>
      </c>
      <c r="AM39" s="50">
        <v>1950</v>
      </c>
      <c r="AN39" s="50">
        <f t="shared" si="24"/>
        <v>555.01875000000007</v>
      </c>
      <c r="AO39" s="50">
        <v>300</v>
      </c>
      <c r="AP39" s="50">
        <f t="shared" si="25"/>
        <v>1482.3025875000001</v>
      </c>
      <c r="AQ39" s="50">
        <f t="shared" si="26"/>
        <v>24158.053837499996</v>
      </c>
      <c r="AR39" s="52">
        <f t="shared" si="4"/>
        <v>894.74273472222205</v>
      </c>
      <c r="AS39" s="52">
        <f t="shared" si="5"/>
        <v>75.46875</v>
      </c>
      <c r="AT39" s="52">
        <f t="shared" si="6"/>
        <v>83.375988281250002</v>
      </c>
      <c r="AU39" s="50">
        <f t="shared" si="7"/>
        <v>15525</v>
      </c>
      <c r="AV39" s="50">
        <f t="shared" si="8"/>
        <v>776.25</v>
      </c>
      <c r="AW39" s="50">
        <f t="shared" si="9"/>
        <v>0</v>
      </c>
      <c r="AX39" s="50">
        <f t="shared" si="10"/>
        <v>0</v>
      </c>
      <c r="AY39" s="50">
        <f t="shared" si="11"/>
        <v>1293.2325000000001</v>
      </c>
      <c r="AZ39" s="50">
        <f t="shared" si="27"/>
        <v>776.25</v>
      </c>
      <c r="BA39" s="56">
        <f t="shared" si="12"/>
        <v>1500</v>
      </c>
      <c r="BB39" s="50">
        <f t="shared" si="13"/>
        <v>0</v>
      </c>
      <c r="BC39" s="50">
        <f t="shared" si="14"/>
        <v>0</v>
      </c>
      <c r="BD39" s="50">
        <f t="shared" si="28"/>
        <v>19870.732499999998</v>
      </c>
      <c r="BE39" s="57">
        <f t="shared" si="15"/>
        <v>1800</v>
      </c>
      <c r="BF39" s="50">
        <f t="shared" si="29"/>
        <v>123</v>
      </c>
      <c r="BG39" s="58">
        <f t="shared" si="30"/>
        <v>200</v>
      </c>
      <c r="BH39" s="55">
        <f t="shared" si="33"/>
        <v>0</v>
      </c>
      <c r="BI39" s="55">
        <f t="shared" si="33"/>
        <v>0</v>
      </c>
      <c r="BJ39" s="55">
        <f t="shared" si="17"/>
        <v>405</v>
      </c>
      <c r="BK39" s="59">
        <v>25</v>
      </c>
      <c r="BL39" s="55">
        <f t="shared" si="18"/>
        <v>2553</v>
      </c>
      <c r="BM39" s="61">
        <f t="shared" si="19"/>
        <v>17318</v>
      </c>
      <c r="BN39" s="57">
        <f t="shared" si="20"/>
        <v>1950</v>
      </c>
      <c r="BO39" s="55">
        <f t="shared" si="31"/>
        <v>530</v>
      </c>
      <c r="BP39" s="55">
        <v>75</v>
      </c>
      <c r="BQ39" s="55">
        <v>300</v>
      </c>
      <c r="BR39" s="55">
        <f t="shared" si="32"/>
        <v>1486</v>
      </c>
      <c r="BS39" s="50">
        <f t="shared" si="21"/>
        <v>24211.732499999998</v>
      </c>
      <c r="BU39" s="63"/>
    </row>
    <row r="40" spans="1:73" s="62" customFormat="1" ht="15.75" x14ac:dyDescent="0.25">
      <c r="A40" s="31">
        <v>32</v>
      </c>
      <c r="B40" s="32"/>
      <c r="C40" s="33" t="s">
        <v>320</v>
      </c>
      <c r="D40" s="34" t="s">
        <v>321</v>
      </c>
      <c r="E40" s="35" t="s">
        <v>322</v>
      </c>
      <c r="F40" s="35" t="s">
        <v>78</v>
      </c>
      <c r="G40" s="36" t="s">
        <v>323</v>
      </c>
      <c r="H40" s="37" t="s">
        <v>324</v>
      </c>
      <c r="I40" s="38" t="s">
        <v>299</v>
      </c>
      <c r="J40" s="39">
        <v>884612918012</v>
      </c>
      <c r="K40" s="40" t="s">
        <v>96</v>
      </c>
      <c r="L40" s="41">
        <v>37616167628</v>
      </c>
      <c r="M40" s="41" t="s">
        <v>98</v>
      </c>
      <c r="N40" s="42" t="s">
        <v>325</v>
      </c>
      <c r="O40" s="43" t="s">
        <v>326</v>
      </c>
      <c r="P40" s="44">
        <v>9022925163</v>
      </c>
      <c r="Q40" s="40"/>
      <c r="R40" s="35" t="s">
        <v>327</v>
      </c>
      <c r="S40" s="45" t="s">
        <v>88</v>
      </c>
      <c r="T40" s="45" t="s">
        <v>89</v>
      </c>
      <c r="U40" s="46" t="s">
        <v>90</v>
      </c>
      <c r="V40" s="47">
        <v>27</v>
      </c>
      <c r="W40" s="48">
        <v>0</v>
      </c>
      <c r="X40" s="48">
        <v>0</v>
      </c>
      <c r="Y40" s="49">
        <f t="shared" si="0"/>
        <v>27</v>
      </c>
      <c r="Z40" s="50"/>
      <c r="AA40" s="51"/>
      <c r="AB40" s="52">
        <f t="shared" si="1"/>
        <v>405</v>
      </c>
      <c r="AC40" s="51"/>
      <c r="AD40" s="51"/>
      <c r="AE40" s="53">
        <v>15525</v>
      </c>
      <c r="AF40" s="54">
        <f t="shared" si="2"/>
        <v>776.25</v>
      </c>
      <c r="AG40" s="53">
        <v>0</v>
      </c>
      <c r="AH40" s="53">
        <v>0</v>
      </c>
      <c r="AI40" s="55">
        <f t="shared" si="34"/>
        <v>1293.2325000000001</v>
      </c>
      <c r="AJ40" s="55">
        <f t="shared" si="22"/>
        <v>776.25</v>
      </c>
      <c r="AK40" s="50">
        <f t="shared" si="23"/>
        <v>18370.732499999998</v>
      </c>
      <c r="AL40" s="50">
        <v>1500</v>
      </c>
      <c r="AM40" s="50">
        <v>1950</v>
      </c>
      <c r="AN40" s="50">
        <f t="shared" si="24"/>
        <v>555.01875000000007</v>
      </c>
      <c r="AO40" s="50">
        <v>300</v>
      </c>
      <c r="AP40" s="50">
        <f t="shared" si="25"/>
        <v>1482.3025875000001</v>
      </c>
      <c r="AQ40" s="50">
        <f t="shared" si="26"/>
        <v>24158.053837499996</v>
      </c>
      <c r="AR40" s="52">
        <f t="shared" si="4"/>
        <v>894.74273472222205</v>
      </c>
      <c r="AS40" s="52">
        <f t="shared" si="5"/>
        <v>75.46875</v>
      </c>
      <c r="AT40" s="52">
        <f t="shared" si="6"/>
        <v>83.375988281250002</v>
      </c>
      <c r="AU40" s="50">
        <f t="shared" si="7"/>
        <v>15525</v>
      </c>
      <c r="AV40" s="50">
        <f t="shared" si="8"/>
        <v>776.25</v>
      </c>
      <c r="AW40" s="50">
        <f t="shared" si="9"/>
        <v>0</v>
      </c>
      <c r="AX40" s="50">
        <f t="shared" si="10"/>
        <v>0</v>
      </c>
      <c r="AY40" s="50">
        <f t="shared" si="11"/>
        <v>1293.2325000000001</v>
      </c>
      <c r="AZ40" s="50">
        <f t="shared" si="27"/>
        <v>776.25</v>
      </c>
      <c r="BA40" s="56">
        <f t="shared" si="12"/>
        <v>1500</v>
      </c>
      <c r="BB40" s="50">
        <f t="shared" si="13"/>
        <v>0</v>
      </c>
      <c r="BC40" s="50">
        <f t="shared" si="14"/>
        <v>0</v>
      </c>
      <c r="BD40" s="50">
        <f t="shared" si="28"/>
        <v>19870.732499999998</v>
      </c>
      <c r="BE40" s="57">
        <f t="shared" si="15"/>
        <v>1800</v>
      </c>
      <c r="BF40" s="50">
        <f t="shared" si="29"/>
        <v>123</v>
      </c>
      <c r="BG40" s="58">
        <f t="shared" si="30"/>
        <v>200</v>
      </c>
      <c r="BH40" s="55">
        <f t="shared" si="33"/>
        <v>0</v>
      </c>
      <c r="BI40" s="55">
        <f t="shared" si="33"/>
        <v>0</v>
      </c>
      <c r="BJ40" s="55">
        <f t="shared" si="17"/>
        <v>405</v>
      </c>
      <c r="BK40" s="59">
        <v>25</v>
      </c>
      <c r="BL40" s="55">
        <f t="shared" si="18"/>
        <v>2553</v>
      </c>
      <c r="BM40" s="61">
        <f t="shared" si="19"/>
        <v>17318</v>
      </c>
      <c r="BN40" s="57">
        <f t="shared" si="20"/>
        <v>1950</v>
      </c>
      <c r="BO40" s="55">
        <f t="shared" si="31"/>
        <v>530</v>
      </c>
      <c r="BP40" s="55">
        <v>75</v>
      </c>
      <c r="BQ40" s="55">
        <v>300</v>
      </c>
      <c r="BR40" s="55">
        <f t="shared" si="32"/>
        <v>1486</v>
      </c>
      <c r="BS40" s="50">
        <f t="shared" si="21"/>
        <v>24211.732499999998</v>
      </c>
    </row>
    <row r="41" spans="1:73" s="62" customFormat="1" ht="15.75" x14ac:dyDescent="0.25">
      <c r="A41" s="31">
        <v>33</v>
      </c>
      <c r="B41" s="32"/>
      <c r="C41" s="33" t="s">
        <v>328</v>
      </c>
      <c r="D41" s="34" t="s">
        <v>329</v>
      </c>
      <c r="E41" s="35" t="s">
        <v>330</v>
      </c>
      <c r="F41" s="35" t="s">
        <v>78</v>
      </c>
      <c r="G41" s="36" t="s">
        <v>331</v>
      </c>
      <c r="H41" s="37" t="s">
        <v>332</v>
      </c>
      <c r="I41" s="38" t="s">
        <v>299</v>
      </c>
      <c r="J41" s="39">
        <v>956542049084</v>
      </c>
      <c r="K41" s="40" t="s">
        <v>107</v>
      </c>
      <c r="L41" s="41">
        <v>2965352065</v>
      </c>
      <c r="M41" s="41" t="s">
        <v>108</v>
      </c>
      <c r="N41" s="42" t="s">
        <v>333</v>
      </c>
      <c r="O41" s="43" t="s">
        <v>334</v>
      </c>
      <c r="P41" s="44">
        <v>9657173613</v>
      </c>
      <c r="Q41" s="40"/>
      <c r="R41" s="35" t="s">
        <v>335</v>
      </c>
      <c r="S41" s="45" t="s">
        <v>88</v>
      </c>
      <c r="T41" s="45" t="s">
        <v>89</v>
      </c>
      <c r="U41" s="46" t="s">
        <v>90</v>
      </c>
      <c r="V41" s="47">
        <v>24</v>
      </c>
      <c r="W41" s="48">
        <v>0</v>
      </c>
      <c r="X41" s="48">
        <v>0</v>
      </c>
      <c r="Y41" s="49">
        <f t="shared" si="0"/>
        <v>24</v>
      </c>
      <c r="Z41" s="50"/>
      <c r="AA41" s="51"/>
      <c r="AB41" s="52">
        <f t="shared" si="1"/>
        <v>360</v>
      </c>
      <c r="AC41" s="51"/>
      <c r="AD41" s="51"/>
      <c r="AE41" s="53">
        <v>15525</v>
      </c>
      <c r="AF41" s="54">
        <f t="shared" si="2"/>
        <v>776.25</v>
      </c>
      <c r="AG41" s="53">
        <v>0</v>
      </c>
      <c r="AH41" s="53">
        <v>0</v>
      </c>
      <c r="AI41" s="55">
        <f t="shared" si="34"/>
        <v>1293.2325000000001</v>
      </c>
      <c r="AJ41" s="55">
        <f t="shared" si="22"/>
        <v>776.25</v>
      </c>
      <c r="AK41" s="50">
        <f t="shared" si="23"/>
        <v>18370.732499999998</v>
      </c>
      <c r="AL41" s="50">
        <v>1500</v>
      </c>
      <c r="AM41" s="50">
        <v>1950</v>
      </c>
      <c r="AN41" s="50">
        <f t="shared" si="24"/>
        <v>555.01875000000007</v>
      </c>
      <c r="AO41" s="50">
        <v>300</v>
      </c>
      <c r="AP41" s="50">
        <f t="shared" si="25"/>
        <v>1482.3025875000001</v>
      </c>
      <c r="AQ41" s="50">
        <f t="shared" si="26"/>
        <v>24158.053837499996</v>
      </c>
      <c r="AR41" s="52">
        <f t="shared" si="4"/>
        <v>894.74273472222205</v>
      </c>
      <c r="AS41" s="52">
        <f t="shared" si="5"/>
        <v>75.46875</v>
      </c>
      <c r="AT41" s="52">
        <f t="shared" si="6"/>
        <v>83.375988281250002</v>
      </c>
      <c r="AU41" s="50">
        <f t="shared" si="7"/>
        <v>13800</v>
      </c>
      <c r="AV41" s="50">
        <f t="shared" si="8"/>
        <v>690</v>
      </c>
      <c r="AW41" s="50">
        <f t="shared" si="9"/>
        <v>0</v>
      </c>
      <c r="AX41" s="50">
        <f t="shared" si="10"/>
        <v>0</v>
      </c>
      <c r="AY41" s="50">
        <f t="shared" si="11"/>
        <v>1149.54</v>
      </c>
      <c r="AZ41" s="50">
        <f t="shared" si="27"/>
        <v>690</v>
      </c>
      <c r="BA41" s="56">
        <f t="shared" si="12"/>
        <v>1333</v>
      </c>
      <c r="BB41" s="50">
        <f t="shared" si="13"/>
        <v>0</v>
      </c>
      <c r="BC41" s="50">
        <f t="shared" si="14"/>
        <v>0</v>
      </c>
      <c r="BD41" s="50">
        <f t="shared" si="28"/>
        <v>17662.54</v>
      </c>
      <c r="BE41" s="57">
        <f t="shared" si="15"/>
        <v>1600</v>
      </c>
      <c r="BF41" s="50">
        <f t="shared" si="29"/>
        <v>109</v>
      </c>
      <c r="BG41" s="58">
        <f t="shared" si="30"/>
        <v>200</v>
      </c>
      <c r="BH41" s="55">
        <f t="shared" si="33"/>
        <v>0</v>
      </c>
      <c r="BI41" s="55">
        <f t="shared" si="33"/>
        <v>0</v>
      </c>
      <c r="BJ41" s="55">
        <f t="shared" si="17"/>
        <v>360</v>
      </c>
      <c r="BK41" s="59">
        <v>25</v>
      </c>
      <c r="BL41" s="55">
        <f t="shared" si="18"/>
        <v>2294</v>
      </c>
      <c r="BM41" s="61">
        <f t="shared" si="19"/>
        <v>15369</v>
      </c>
      <c r="BN41" s="57">
        <f t="shared" si="20"/>
        <v>1733</v>
      </c>
      <c r="BO41" s="55">
        <f t="shared" si="31"/>
        <v>471</v>
      </c>
      <c r="BP41" s="55">
        <v>75</v>
      </c>
      <c r="BQ41" s="55">
        <v>300</v>
      </c>
      <c r="BR41" s="55">
        <f t="shared" si="32"/>
        <v>1324</v>
      </c>
      <c r="BS41" s="50">
        <f t="shared" si="21"/>
        <v>21565.54</v>
      </c>
    </row>
    <row r="42" spans="1:73" s="62" customFormat="1" ht="15.75" x14ac:dyDescent="0.25">
      <c r="A42" s="31">
        <v>34</v>
      </c>
      <c r="B42" s="32"/>
      <c r="C42" s="33" t="s">
        <v>336</v>
      </c>
      <c r="D42" s="34" t="s">
        <v>337</v>
      </c>
      <c r="E42" s="35" t="s">
        <v>338</v>
      </c>
      <c r="F42" s="35" t="s">
        <v>78</v>
      </c>
      <c r="G42" s="36" t="s">
        <v>331</v>
      </c>
      <c r="H42" s="37" t="s">
        <v>339</v>
      </c>
      <c r="I42" s="38" t="s">
        <v>299</v>
      </c>
      <c r="J42" s="39">
        <v>251666941561</v>
      </c>
      <c r="K42" s="40" t="s">
        <v>96</v>
      </c>
      <c r="L42" s="41">
        <v>34005194271</v>
      </c>
      <c r="M42" s="41" t="s">
        <v>98</v>
      </c>
      <c r="N42" s="42" t="s">
        <v>340</v>
      </c>
      <c r="O42" s="43" t="s">
        <v>341</v>
      </c>
      <c r="P42" s="44">
        <v>8975805762</v>
      </c>
      <c r="Q42" s="40"/>
      <c r="R42" s="35" t="s">
        <v>342</v>
      </c>
      <c r="S42" s="45" t="s">
        <v>88</v>
      </c>
      <c r="T42" s="45" t="s">
        <v>89</v>
      </c>
      <c r="U42" s="46" t="s">
        <v>90</v>
      </c>
      <c r="V42" s="47">
        <v>26.5</v>
      </c>
      <c r="W42" s="48">
        <v>0</v>
      </c>
      <c r="X42" s="48">
        <v>0</v>
      </c>
      <c r="Y42" s="49">
        <f t="shared" si="0"/>
        <v>26.5</v>
      </c>
      <c r="Z42" s="50"/>
      <c r="AA42" s="51"/>
      <c r="AB42" s="52">
        <f t="shared" si="1"/>
        <v>397.5</v>
      </c>
      <c r="AC42" s="51"/>
      <c r="AD42" s="51"/>
      <c r="AE42" s="53">
        <v>15525</v>
      </c>
      <c r="AF42" s="54">
        <f t="shared" si="2"/>
        <v>776.25</v>
      </c>
      <c r="AG42" s="53">
        <v>0</v>
      </c>
      <c r="AH42" s="53">
        <v>0</v>
      </c>
      <c r="AI42" s="55">
        <f t="shared" si="34"/>
        <v>1293.2325000000001</v>
      </c>
      <c r="AJ42" s="55">
        <f t="shared" si="22"/>
        <v>776.25</v>
      </c>
      <c r="AK42" s="50">
        <f t="shared" si="23"/>
        <v>18370.732499999998</v>
      </c>
      <c r="AL42" s="50">
        <v>1500</v>
      </c>
      <c r="AM42" s="50">
        <v>1950</v>
      </c>
      <c r="AN42" s="50">
        <f t="shared" si="24"/>
        <v>555.01875000000007</v>
      </c>
      <c r="AO42" s="50">
        <v>300</v>
      </c>
      <c r="AP42" s="50">
        <f t="shared" si="25"/>
        <v>1482.3025875000001</v>
      </c>
      <c r="AQ42" s="50">
        <f t="shared" si="26"/>
        <v>24158.053837499996</v>
      </c>
      <c r="AR42" s="52">
        <f t="shared" si="4"/>
        <v>894.74273472222205</v>
      </c>
      <c r="AS42" s="52">
        <f t="shared" si="5"/>
        <v>75.46875</v>
      </c>
      <c r="AT42" s="52">
        <f t="shared" si="6"/>
        <v>83.375988281250002</v>
      </c>
      <c r="AU42" s="50">
        <f t="shared" si="7"/>
        <v>15237.5</v>
      </c>
      <c r="AV42" s="50">
        <f t="shared" si="8"/>
        <v>761.875</v>
      </c>
      <c r="AW42" s="50">
        <f t="shared" si="9"/>
        <v>0</v>
      </c>
      <c r="AX42" s="50">
        <f t="shared" si="10"/>
        <v>0</v>
      </c>
      <c r="AY42" s="50">
        <f t="shared" si="11"/>
        <v>1269.2837500000001</v>
      </c>
      <c r="AZ42" s="50">
        <f t="shared" si="27"/>
        <v>761.875</v>
      </c>
      <c r="BA42" s="56">
        <f t="shared" si="12"/>
        <v>1472</v>
      </c>
      <c r="BB42" s="50">
        <f t="shared" si="13"/>
        <v>0</v>
      </c>
      <c r="BC42" s="50">
        <f t="shared" si="14"/>
        <v>0</v>
      </c>
      <c r="BD42" s="50">
        <f t="shared" si="28"/>
        <v>19502.533749999999</v>
      </c>
      <c r="BE42" s="57">
        <f t="shared" si="15"/>
        <v>1767</v>
      </c>
      <c r="BF42" s="50">
        <f t="shared" si="29"/>
        <v>120</v>
      </c>
      <c r="BG42" s="58">
        <f t="shared" si="30"/>
        <v>200</v>
      </c>
      <c r="BH42" s="55">
        <f t="shared" si="33"/>
        <v>0</v>
      </c>
      <c r="BI42" s="55">
        <f t="shared" si="33"/>
        <v>0</v>
      </c>
      <c r="BJ42" s="55">
        <f t="shared" si="17"/>
        <v>397.5</v>
      </c>
      <c r="BK42" s="59">
        <v>25</v>
      </c>
      <c r="BL42" s="55">
        <f t="shared" si="18"/>
        <v>2509.5</v>
      </c>
      <c r="BM42" s="61">
        <f t="shared" si="19"/>
        <v>16993</v>
      </c>
      <c r="BN42" s="57">
        <f t="shared" si="20"/>
        <v>1914</v>
      </c>
      <c r="BO42" s="55">
        <f t="shared" si="31"/>
        <v>520</v>
      </c>
      <c r="BP42" s="55">
        <v>75</v>
      </c>
      <c r="BQ42" s="55">
        <v>300</v>
      </c>
      <c r="BR42" s="55">
        <f t="shared" si="32"/>
        <v>1459</v>
      </c>
      <c r="BS42" s="50">
        <f t="shared" si="21"/>
        <v>23770.533749999999</v>
      </c>
    </row>
    <row r="43" spans="1:73" s="62" customFormat="1" ht="15.75" x14ac:dyDescent="0.25">
      <c r="A43" s="31">
        <v>35</v>
      </c>
      <c r="B43" s="32"/>
      <c r="C43" s="33" t="s">
        <v>343</v>
      </c>
      <c r="D43" s="34" t="s">
        <v>344</v>
      </c>
      <c r="E43" s="35" t="s">
        <v>345</v>
      </c>
      <c r="F43" s="35" t="s">
        <v>78</v>
      </c>
      <c r="G43" s="36" t="s">
        <v>346</v>
      </c>
      <c r="H43" s="37" t="s">
        <v>347</v>
      </c>
      <c r="I43" s="38"/>
      <c r="J43" s="39">
        <v>571037061202</v>
      </c>
      <c r="K43" s="40" t="s">
        <v>96</v>
      </c>
      <c r="L43" s="41">
        <v>38714141554</v>
      </c>
      <c r="M43" s="41" t="s">
        <v>98</v>
      </c>
      <c r="N43" s="42" t="s">
        <v>348</v>
      </c>
      <c r="O43" s="43" t="s">
        <v>349</v>
      </c>
      <c r="P43" s="44">
        <v>8830927125</v>
      </c>
      <c r="Q43" s="40"/>
      <c r="R43" s="35"/>
      <c r="S43" s="45" t="s">
        <v>88</v>
      </c>
      <c r="T43" s="45" t="s">
        <v>89</v>
      </c>
      <c r="U43" s="46" t="s">
        <v>90</v>
      </c>
      <c r="V43" s="47">
        <v>27</v>
      </c>
      <c r="W43" s="48">
        <v>0</v>
      </c>
      <c r="X43" s="48">
        <v>0</v>
      </c>
      <c r="Y43" s="49">
        <f t="shared" si="0"/>
        <v>27</v>
      </c>
      <c r="Z43" s="50"/>
      <c r="AA43" s="49"/>
      <c r="AB43" s="52">
        <f t="shared" si="1"/>
        <v>405</v>
      </c>
      <c r="AC43" s="49"/>
      <c r="AD43" s="49"/>
      <c r="AE43" s="53">
        <v>15525</v>
      </c>
      <c r="AF43" s="54">
        <f t="shared" si="2"/>
        <v>776.25</v>
      </c>
      <c r="AG43" s="53">
        <v>0</v>
      </c>
      <c r="AH43" s="53">
        <v>0</v>
      </c>
      <c r="AI43" s="55">
        <f t="shared" si="34"/>
        <v>1293.2325000000001</v>
      </c>
      <c r="AJ43" s="55">
        <f t="shared" si="22"/>
        <v>776.25</v>
      </c>
      <c r="AK43" s="50">
        <f t="shared" si="23"/>
        <v>18370.732499999998</v>
      </c>
      <c r="AL43" s="50">
        <v>1500</v>
      </c>
      <c r="AM43" s="50">
        <v>1950</v>
      </c>
      <c r="AN43" s="50">
        <f t="shared" si="24"/>
        <v>555.01875000000007</v>
      </c>
      <c r="AO43" s="50">
        <v>300</v>
      </c>
      <c r="AP43" s="50">
        <f t="shared" si="25"/>
        <v>1482.3025875000001</v>
      </c>
      <c r="AQ43" s="50">
        <f t="shared" si="26"/>
        <v>24158.053837499996</v>
      </c>
      <c r="AR43" s="69">
        <f t="shared" si="4"/>
        <v>894.74273472222205</v>
      </c>
      <c r="AS43" s="69">
        <f t="shared" si="5"/>
        <v>75.46875</v>
      </c>
      <c r="AT43" s="69">
        <f t="shared" si="6"/>
        <v>83.375988281250002</v>
      </c>
      <c r="AU43" s="57">
        <f t="shared" si="7"/>
        <v>15525</v>
      </c>
      <c r="AV43" s="57">
        <f t="shared" si="8"/>
        <v>776.25</v>
      </c>
      <c r="AW43" s="57">
        <f t="shared" si="9"/>
        <v>0</v>
      </c>
      <c r="AX43" s="50">
        <f t="shared" si="10"/>
        <v>0</v>
      </c>
      <c r="AY43" s="50">
        <f t="shared" si="11"/>
        <v>1293.2325000000001</v>
      </c>
      <c r="AZ43" s="50">
        <f t="shared" si="27"/>
        <v>776.25</v>
      </c>
      <c r="BA43" s="56">
        <f t="shared" si="12"/>
        <v>1500</v>
      </c>
      <c r="BB43" s="57">
        <f t="shared" si="13"/>
        <v>0</v>
      </c>
      <c r="BC43" s="57">
        <f t="shared" si="14"/>
        <v>0</v>
      </c>
      <c r="BD43" s="50">
        <f t="shared" si="28"/>
        <v>19870.732499999998</v>
      </c>
      <c r="BE43" s="57">
        <f t="shared" si="15"/>
        <v>1800</v>
      </c>
      <c r="BF43" s="50">
        <f t="shared" si="29"/>
        <v>123</v>
      </c>
      <c r="BG43" s="58">
        <f t="shared" si="30"/>
        <v>200</v>
      </c>
      <c r="BH43" s="60">
        <f t="shared" si="33"/>
        <v>0</v>
      </c>
      <c r="BI43" s="60">
        <f t="shared" si="33"/>
        <v>0</v>
      </c>
      <c r="BJ43" s="60">
        <f t="shared" si="17"/>
        <v>405</v>
      </c>
      <c r="BK43" s="59">
        <v>25</v>
      </c>
      <c r="BL43" s="60">
        <f t="shared" si="18"/>
        <v>2553</v>
      </c>
      <c r="BM43" s="61">
        <f t="shared" si="19"/>
        <v>17318</v>
      </c>
      <c r="BN43" s="57">
        <f t="shared" si="20"/>
        <v>1950</v>
      </c>
      <c r="BO43" s="55">
        <f t="shared" si="31"/>
        <v>530</v>
      </c>
      <c r="BP43" s="55">
        <v>75</v>
      </c>
      <c r="BQ43" s="55">
        <v>300</v>
      </c>
      <c r="BR43" s="55">
        <f t="shared" si="32"/>
        <v>1486</v>
      </c>
      <c r="BS43" s="50">
        <f t="shared" si="21"/>
        <v>24211.732499999998</v>
      </c>
      <c r="BT43" s="2"/>
      <c r="BU43" s="2"/>
    </row>
    <row r="44" spans="1:73" s="62" customFormat="1" ht="15.75" x14ac:dyDescent="0.25">
      <c r="A44" s="31">
        <v>36</v>
      </c>
      <c r="B44" s="32"/>
      <c r="C44" s="33" t="s">
        <v>350</v>
      </c>
      <c r="D44" s="34" t="s">
        <v>351</v>
      </c>
      <c r="E44" s="35" t="s">
        <v>352</v>
      </c>
      <c r="F44" s="35" t="s">
        <v>78</v>
      </c>
      <c r="G44" s="36" t="s">
        <v>331</v>
      </c>
      <c r="H44" s="37" t="s">
        <v>353</v>
      </c>
      <c r="I44" s="38" t="s">
        <v>299</v>
      </c>
      <c r="J44" s="39">
        <v>489995739389</v>
      </c>
      <c r="K44" s="40" t="s">
        <v>107</v>
      </c>
      <c r="L44" s="41">
        <v>3952611507</v>
      </c>
      <c r="M44" s="41" t="s">
        <v>108</v>
      </c>
      <c r="N44" s="42" t="s">
        <v>354</v>
      </c>
      <c r="O44" s="43">
        <v>25047244915</v>
      </c>
      <c r="P44" s="44">
        <v>95038220952</v>
      </c>
      <c r="Q44" s="40"/>
      <c r="R44" s="35" t="s">
        <v>355</v>
      </c>
      <c r="S44" s="45" t="s">
        <v>88</v>
      </c>
      <c r="T44" s="45" t="s">
        <v>89</v>
      </c>
      <c r="U44" s="46" t="s">
        <v>90</v>
      </c>
      <c r="V44" s="47">
        <v>22</v>
      </c>
      <c r="W44" s="48">
        <v>0</v>
      </c>
      <c r="X44" s="48">
        <v>0</v>
      </c>
      <c r="Y44" s="49">
        <f t="shared" si="0"/>
        <v>22</v>
      </c>
      <c r="Z44" s="50"/>
      <c r="AA44" s="51"/>
      <c r="AB44" s="52">
        <f t="shared" si="1"/>
        <v>330</v>
      </c>
      <c r="AC44" s="51"/>
      <c r="AD44" s="51"/>
      <c r="AE44" s="53">
        <v>15525</v>
      </c>
      <c r="AF44" s="54">
        <f t="shared" si="2"/>
        <v>776.25</v>
      </c>
      <c r="AG44" s="53">
        <v>0</v>
      </c>
      <c r="AH44" s="53">
        <v>0</v>
      </c>
      <c r="AI44" s="55">
        <f t="shared" si="34"/>
        <v>1293.2325000000001</v>
      </c>
      <c r="AJ44" s="55">
        <f t="shared" si="22"/>
        <v>776.25</v>
      </c>
      <c r="AK44" s="50">
        <f t="shared" si="23"/>
        <v>18370.732499999998</v>
      </c>
      <c r="AL44" s="50">
        <v>1500</v>
      </c>
      <c r="AM44" s="50">
        <v>1950</v>
      </c>
      <c r="AN44" s="50">
        <f t="shared" si="24"/>
        <v>555.01875000000007</v>
      </c>
      <c r="AO44" s="50">
        <v>300</v>
      </c>
      <c r="AP44" s="50">
        <f t="shared" si="25"/>
        <v>1482.3025875000001</v>
      </c>
      <c r="AQ44" s="50">
        <f t="shared" si="26"/>
        <v>24158.053837499996</v>
      </c>
      <c r="AR44" s="52">
        <f t="shared" si="4"/>
        <v>894.74273472222205</v>
      </c>
      <c r="AS44" s="52">
        <f t="shared" si="5"/>
        <v>75.46875</v>
      </c>
      <c r="AT44" s="52">
        <f t="shared" si="6"/>
        <v>83.375988281250002</v>
      </c>
      <c r="AU44" s="50">
        <f t="shared" si="7"/>
        <v>12650</v>
      </c>
      <c r="AV44" s="50">
        <f t="shared" si="8"/>
        <v>632.5</v>
      </c>
      <c r="AW44" s="50">
        <f t="shared" si="9"/>
        <v>0</v>
      </c>
      <c r="AX44" s="50">
        <f t="shared" si="10"/>
        <v>0</v>
      </c>
      <c r="AY44" s="50">
        <f t="shared" si="11"/>
        <v>1053.7450000000001</v>
      </c>
      <c r="AZ44" s="50">
        <f t="shared" si="27"/>
        <v>632.5</v>
      </c>
      <c r="BA44" s="56">
        <f t="shared" si="12"/>
        <v>1222</v>
      </c>
      <c r="BB44" s="50">
        <f t="shared" si="13"/>
        <v>0</v>
      </c>
      <c r="BC44" s="50">
        <f t="shared" si="14"/>
        <v>0</v>
      </c>
      <c r="BD44" s="50">
        <f t="shared" si="28"/>
        <v>16190.745000000001</v>
      </c>
      <c r="BE44" s="57">
        <f t="shared" si="15"/>
        <v>1467</v>
      </c>
      <c r="BF44" s="50">
        <f t="shared" si="29"/>
        <v>100</v>
      </c>
      <c r="BG44" s="58">
        <f t="shared" si="30"/>
        <v>200</v>
      </c>
      <c r="BH44" s="55">
        <f t="shared" si="33"/>
        <v>0</v>
      </c>
      <c r="BI44" s="55">
        <f t="shared" si="33"/>
        <v>0</v>
      </c>
      <c r="BJ44" s="55">
        <f t="shared" si="17"/>
        <v>330</v>
      </c>
      <c r="BK44" s="59">
        <v>25</v>
      </c>
      <c r="BL44" s="55">
        <f t="shared" si="18"/>
        <v>2122</v>
      </c>
      <c r="BM44" s="61">
        <f t="shared" si="19"/>
        <v>14069</v>
      </c>
      <c r="BN44" s="57">
        <f t="shared" si="20"/>
        <v>1589</v>
      </c>
      <c r="BO44" s="55">
        <f t="shared" si="31"/>
        <v>432</v>
      </c>
      <c r="BP44" s="55">
        <v>75</v>
      </c>
      <c r="BQ44" s="55">
        <v>300</v>
      </c>
      <c r="BR44" s="55">
        <f t="shared" si="32"/>
        <v>1216</v>
      </c>
      <c r="BS44" s="50">
        <f t="shared" si="21"/>
        <v>19802.745000000003</v>
      </c>
    </row>
    <row r="45" spans="1:73" s="62" customFormat="1" ht="15.75" x14ac:dyDescent="0.25">
      <c r="A45" s="31">
        <v>37</v>
      </c>
      <c r="B45" s="32"/>
      <c r="C45" s="33" t="s">
        <v>356</v>
      </c>
      <c r="D45" s="34" t="s">
        <v>357</v>
      </c>
      <c r="E45" s="35" t="s">
        <v>358</v>
      </c>
      <c r="F45" s="35" t="s">
        <v>359</v>
      </c>
      <c r="G45" s="36" t="s">
        <v>139</v>
      </c>
      <c r="H45" s="37" t="s">
        <v>360</v>
      </c>
      <c r="I45" s="38" t="s">
        <v>361</v>
      </c>
      <c r="J45" s="39">
        <v>601340827582</v>
      </c>
      <c r="K45" s="40" t="s">
        <v>96</v>
      </c>
      <c r="L45" s="41">
        <v>31402230631</v>
      </c>
      <c r="M45" s="41" t="s">
        <v>132</v>
      </c>
      <c r="N45" s="42" t="s">
        <v>362</v>
      </c>
      <c r="O45" s="43" t="s">
        <v>363</v>
      </c>
      <c r="P45" s="44">
        <v>9356742298</v>
      </c>
      <c r="Q45" s="40"/>
      <c r="R45" s="35" t="s">
        <v>101</v>
      </c>
      <c r="S45" s="45" t="s">
        <v>88</v>
      </c>
      <c r="T45" s="45" t="s">
        <v>89</v>
      </c>
      <c r="U45" s="46" t="s">
        <v>90</v>
      </c>
      <c r="V45" s="47">
        <v>27</v>
      </c>
      <c r="W45" s="48">
        <v>0</v>
      </c>
      <c r="X45" s="48">
        <v>0</v>
      </c>
      <c r="Y45" s="49">
        <f t="shared" si="0"/>
        <v>27</v>
      </c>
      <c r="Z45" s="50"/>
      <c r="AA45" s="51"/>
      <c r="AB45" s="52">
        <f t="shared" si="1"/>
        <v>405</v>
      </c>
      <c r="AC45" s="51"/>
      <c r="AD45" s="51"/>
      <c r="AE45" s="53">
        <v>15525</v>
      </c>
      <c r="AF45" s="54">
        <f t="shared" si="2"/>
        <v>776.25</v>
      </c>
      <c r="AG45" s="53">
        <v>0</v>
      </c>
      <c r="AH45" s="53">
        <v>0</v>
      </c>
      <c r="AI45" s="55">
        <f t="shared" si="34"/>
        <v>1293.2325000000001</v>
      </c>
      <c r="AJ45" s="55">
        <f t="shared" si="22"/>
        <v>776.25</v>
      </c>
      <c r="AK45" s="50">
        <f t="shared" si="23"/>
        <v>18370.732499999998</v>
      </c>
      <c r="AL45" s="50">
        <v>1500</v>
      </c>
      <c r="AM45" s="50">
        <v>1950</v>
      </c>
      <c r="AN45" s="50">
        <f t="shared" si="24"/>
        <v>555.01875000000007</v>
      </c>
      <c r="AO45" s="50">
        <v>300</v>
      </c>
      <c r="AP45" s="50">
        <f t="shared" si="25"/>
        <v>1482.3025875000001</v>
      </c>
      <c r="AQ45" s="50">
        <f t="shared" si="26"/>
        <v>24158.053837499996</v>
      </c>
      <c r="AR45" s="52">
        <f t="shared" si="4"/>
        <v>894.74273472222205</v>
      </c>
      <c r="AS45" s="52">
        <f t="shared" si="5"/>
        <v>75.46875</v>
      </c>
      <c r="AT45" s="52">
        <f t="shared" si="6"/>
        <v>83.375988281250002</v>
      </c>
      <c r="AU45" s="50">
        <f t="shared" si="7"/>
        <v>15525</v>
      </c>
      <c r="AV45" s="50">
        <f t="shared" si="8"/>
        <v>776.25</v>
      </c>
      <c r="AW45" s="50">
        <f t="shared" si="9"/>
        <v>0</v>
      </c>
      <c r="AX45" s="50">
        <f t="shared" si="10"/>
        <v>0</v>
      </c>
      <c r="AY45" s="50">
        <f t="shared" si="11"/>
        <v>1293.2325000000001</v>
      </c>
      <c r="AZ45" s="50">
        <f t="shared" si="27"/>
        <v>776.25</v>
      </c>
      <c r="BA45" s="56">
        <f t="shared" si="12"/>
        <v>1500</v>
      </c>
      <c r="BB45" s="50">
        <f t="shared" si="13"/>
        <v>0</v>
      </c>
      <c r="BC45" s="50">
        <f t="shared" si="14"/>
        <v>0</v>
      </c>
      <c r="BD45" s="50">
        <f t="shared" si="28"/>
        <v>19870.732499999998</v>
      </c>
      <c r="BE45" s="57">
        <f t="shared" si="15"/>
        <v>1800</v>
      </c>
      <c r="BF45" s="50">
        <f t="shared" si="29"/>
        <v>123</v>
      </c>
      <c r="BG45" s="58">
        <f t="shared" ref="BG45:BG47" si="35">IF(BD45&gt;=10000,0,IF(BD45&gt;=7500,0,IF(BD45&lt;=7500,0)))</f>
        <v>0</v>
      </c>
      <c r="BH45" s="55">
        <f t="shared" si="33"/>
        <v>0</v>
      </c>
      <c r="BI45" s="55">
        <f t="shared" si="33"/>
        <v>0</v>
      </c>
      <c r="BJ45" s="55">
        <f t="shared" si="17"/>
        <v>405</v>
      </c>
      <c r="BK45" s="59">
        <v>25</v>
      </c>
      <c r="BL45" s="55">
        <f t="shared" si="18"/>
        <v>2353</v>
      </c>
      <c r="BM45" s="61">
        <f t="shared" si="19"/>
        <v>17518</v>
      </c>
      <c r="BN45" s="57">
        <f t="shared" si="20"/>
        <v>1950</v>
      </c>
      <c r="BO45" s="55">
        <f t="shared" si="31"/>
        <v>530</v>
      </c>
      <c r="BP45" s="55">
        <v>75</v>
      </c>
      <c r="BQ45" s="55">
        <v>300</v>
      </c>
      <c r="BR45" s="55">
        <f t="shared" si="32"/>
        <v>1486</v>
      </c>
      <c r="BS45" s="50">
        <f t="shared" si="21"/>
        <v>24211.732499999998</v>
      </c>
    </row>
    <row r="46" spans="1:73" s="62" customFormat="1" ht="15.75" x14ac:dyDescent="0.25">
      <c r="A46" s="31">
        <v>38</v>
      </c>
      <c r="B46" s="32"/>
      <c r="C46" s="33" t="s">
        <v>364</v>
      </c>
      <c r="D46" s="34" t="s">
        <v>365</v>
      </c>
      <c r="E46" s="35" t="s">
        <v>366</v>
      </c>
      <c r="F46" s="35" t="s">
        <v>359</v>
      </c>
      <c r="G46" s="36" t="s">
        <v>222</v>
      </c>
      <c r="H46" s="37" t="s">
        <v>367</v>
      </c>
      <c r="I46" s="38" t="s">
        <v>361</v>
      </c>
      <c r="J46" s="39">
        <v>207265352483</v>
      </c>
      <c r="K46" s="40" t="s">
        <v>107</v>
      </c>
      <c r="L46" s="41">
        <v>4051922482</v>
      </c>
      <c r="M46" s="41" t="s">
        <v>246</v>
      </c>
      <c r="N46" s="42" t="s">
        <v>368</v>
      </c>
      <c r="O46" s="43">
        <v>2504715390</v>
      </c>
      <c r="P46" s="44">
        <v>7770030968</v>
      </c>
      <c r="Q46" s="40"/>
      <c r="R46" s="35" t="s">
        <v>270</v>
      </c>
      <c r="S46" s="45" t="s">
        <v>88</v>
      </c>
      <c r="T46" s="45" t="s">
        <v>89</v>
      </c>
      <c r="U46" s="46" t="s">
        <v>90</v>
      </c>
      <c r="V46" s="47">
        <v>27</v>
      </c>
      <c r="W46" s="48">
        <v>0</v>
      </c>
      <c r="X46" s="48">
        <v>0</v>
      </c>
      <c r="Y46" s="49">
        <f t="shared" si="0"/>
        <v>27</v>
      </c>
      <c r="Z46" s="50"/>
      <c r="AA46" s="51"/>
      <c r="AB46" s="52">
        <f t="shared" si="1"/>
        <v>405</v>
      </c>
      <c r="AC46" s="51"/>
      <c r="AD46" s="51"/>
      <c r="AE46" s="53">
        <v>15525</v>
      </c>
      <c r="AF46" s="54">
        <f t="shared" si="2"/>
        <v>776.25</v>
      </c>
      <c r="AG46" s="53">
        <v>0</v>
      </c>
      <c r="AH46" s="53">
        <v>0</v>
      </c>
      <c r="AI46" s="55">
        <f t="shared" si="34"/>
        <v>1293.2325000000001</v>
      </c>
      <c r="AJ46" s="55">
        <f t="shared" si="22"/>
        <v>776.25</v>
      </c>
      <c r="AK46" s="50">
        <f t="shared" si="23"/>
        <v>18370.732499999998</v>
      </c>
      <c r="AL46" s="50">
        <v>1500</v>
      </c>
      <c r="AM46" s="50">
        <v>1950</v>
      </c>
      <c r="AN46" s="50">
        <f t="shared" si="24"/>
        <v>555.01875000000007</v>
      </c>
      <c r="AO46" s="50">
        <v>300</v>
      </c>
      <c r="AP46" s="50">
        <f t="shared" si="25"/>
        <v>1482.3025875000001</v>
      </c>
      <c r="AQ46" s="50">
        <f t="shared" si="26"/>
        <v>24158.053837499996</v>
      </c>
      <c r="AR46" s="52">
        <f t="shared" si="4"/>
        <v>894.74273472222205</v>
      </c>
      <c r="AS46" s="52">
        <f t="shared" si="5"/>
        <v>75.46875</v>
      </c>
      <c r="AT46" s="52">
        <f t="shared" si="6"/>
        <v>83.375988281250002</v>
      </c>
      <c r="AU46" s="50">
        <f t="shared" si="7"/>
        <v>15525</v>
      </c>
      <c r="AV46" s="50">
        <f t="shared" si="8"/>
        <v>776.25</v>
      </c>
      <c r="AW46" s="50">
        <f t="shared" si="9"/>
        <v>0</v>
      </c>
      <c r="AX46" s="50">
        <f t="shared" si="10"/>
        <v>0</v>
      </c>
      <c r="AY46" s="50">
        <f t="shared" si="11"/>
        <v>1293.2325000000001</v>
      </c>
      <c r="AZ46" s="50">
        <f t="shared" si="27"/>
        <v>776.25</v>
      </c>
      <c r="BA46" s="56">
        <f t="shared" si="12"/>
        <v>1500</v>
      </c>
      <c r="BB46" s="50">
        <f t="shared" si="13"/>
        <v>0</v>
      </c>
      <c r="BC46" s="50">
        <f t="shared" si="14"/>
        <v>0</v>
      </c>
      <c r="BD46" s="50">
        <f t="shared" si="28"/>
        <v>19870.732499999998</v>
      </c>
      <c r="BE46" s="57">
        <f t="shared" si="15"/>
        <v>1800</v>
      </c>
      <c r="BF46" s="50">
        <f t="shared" si="29"/>
        <v>123</v>
      </c>
      <c r="BG46" s="58">
        <f t="shared" si="35"/>
        <v>0</v>
      </c>
      <c r="BH46" s="55">
        <f t="shared" si="33"/>
        <v>0</v>
      </c>
      <c r="BI46" s="55">
        <f t="shared" si="33"/>
        <v>0</v>
      </c>
      <c r="BJ46" s="55">
        <f t="shared" si="17"/>
        <v>405</v>
      </c>
      <c r="BK46" s="59">
        <v>25</v>
      </c>
      <c r="BL46" s="55">
        <f t="shared" si="18"/>
        <v>2353</v>
      </c>
      <c r="BM46" s="61">
        <f t="shared" si="19"/>
        <v>17518</v>
      </c>
      <c r="BN46" s="57">
        <f t="shared" si="20"/>
        <v>1950</v>
      </c>
      <c r="BO46" s="55">
        <f t="shared" si="31"/>
        <v>530</v>
      </c>
      <c r="BP46" s="55">
        <v>75</v>
      </c>
      <c r="BQ46" s="55">
        <v>300</v>
      </c>
      <c r="BR46" s="55">
        <f t="shared" si="32"/>
        <v>1486</v>
      </c>
      <c r="BS46" s="50">
        <f t="shared" si="21"/>
        <v>24211.732499999998</v>
      </c>
    </row>
    <row r="47" spans="1:73" s="62" customFormat="1" ht="15.75" x14ac:dyDescent="0.25">
      <c r="A47" s="31">
        <v>39</v>
      </c>
      <c r="B47" s="32"/>
      <c r="C47" s="33" t="s">
        <v>369</v>
      </c>
      <c r="D47" s="34" t="s">
        <v>370</v>
      </c>
      <c r="E47" s="35" t="s">
        <v>371</v>
      </c>
      <c r="F47" s="35" t="s">
        <v>359</v>
      </c>
      <c r="G47" s="36" t="s">
        <v>222</v>
      </c>
      <c r="H47" s="37" t="s">
        <v>372</v>
      </c>
      <c r="I47" s="38" t="s">
        <v>361</v>
      </c>
      <c r="J47" s="39">
        <v>599311870185</v>
      </c>
      <c r="K47" s="40" t="s">
        <v>107</v>
      </c>
      <c r="L47" s="41" t="s">
        <v>373</v>
      </c>
      <c r="M47" s="41" t="s">
        <v>98</v>
      </c>
      <c r="N47" s="42" t="s">
        <v>374</v>
      </c>
      <c r="O47" s="43">
        <v>2504715410</v>
      </c>
      <c r="P47" s="44">
        <v>8007660855</v>
      </c>
      <c r="Q47" s="40"/>
      <c r="R47" s="35" t="s">
        <v>101</v>
      </c>
      <c r="S47" s="45" t="s">
        <v>88</v>
      </c>
      <c r="T47" s="45" t="s">
        <v>89</v>
      </c>
      <c r="U47" s="46" t="s">
        <v>90</v>
      </c>
      <c r="V47" s="47">
        <v>26.5</v>
      </c>
      <c r="W47" s="48">
        <v>0</v>
      </c>
      <c r="X47" s="48">
        <v>0</v>
      </c>
      <c r="Y47" s="49">
        <f t="shared" si="0"/>
        <v>26.5</v>
      </c>
      <c r="Z47" s="50"/>
      <c r="AA47" s="51"/>
      <c r="AB47" s="52">
        <f t="shared" si="1"/>
        <v>397.5</v>
      </c>
      <c r="AC47" s="51"/>
      <c r="AD47" s="51"/>
      <c r="AE47" s="53">
        <v>15525</v>
      </c>
      <c r="AF47" s="54">
        <f t="shared" si="2"/>
        <v>776.25</v>
      </c>
      <c r="AG47" s="53">
        <v>0</v>
      </c>
      <c r="AH47" s="53">
        <v>0</v>
      </c>
      <c r="AI47" s="55">
        <f t="shared" si="34"/>
        <v>1293.2325000000001</v>
      </c>
      <c r="AJ47" s="55">
        <f t="shared" si="22"/>
        <v>776.25</v>
      </c>
      <c r="AK47" s="50">
        <f t="shared" si="23"/>
        <v>18370.732499999998</v>
      </c>
      <c r="AL47" s="50">
        <v>1500</v>
      </c>
      <c r="AM47" s="50">
        <v>1950</v>
      </c>
      <c r="AN47" s="50">
        <f t="shared" si="24"/>
        <v>555.01875000000007</v>
      </c>
      <c r="AO47" s="50">
        <v>300</v>
      </c>
      <c r="AP47" s="50">
        <f t="shared" si="25"/>
        <v>1482.3025875000001</v>
      </c>
      <c r="AQ47" s="50">
        <f t="shared" si="26"/>
        <v>24158.053837499996</v>
      </c>
      <c r="AR47" s="52">
        <f t="shared" si="4"/>
        <v>894.74273472222205</v>
      </c>
      <c r="AS47" s="52">
        <f t="shared" si="5"/>
        <v>75.46875</v>
      </c>
      <c r="AT47" s="52">
        <f t="shared" si="6"/>
        <v>83.375988281250002</v>
      </c>
      <c r="AU47" s="50">
        <f t="shared" si="7"/>
        <v>15237.5</v>
      </c>
      <c r="AV47" s="50">
        <f t="shared" si="8"/>
        <v>761.875</v>
      </c>
      <c r="AW47" s="50">
        <f t="shared" si="9"/>
        <v>0</v>
      </c>
      <c r="AX47" s="50">
        <f t="shared" si="10"/>
        <v>0</v>
      </c>
      <c r="AY47" s="50">
        <f t="shared" si="11"/>
        <v>1269.2837500000001</v>
      </c>
      <c r="AZ47" s="50">
        <f t="shared" si="27"/>
        <v>761.875</v>
      </c>
      <c r="BA47" s="56">
        <f t="shared" si="12"/>
        <v>1472</v>
      </c>
      <c r="BB47" s="50">
        <f t="shared" si="13"/>
        <v>0</v>
      </c>
      <c r="BC47" s="50">
        <f t="shared" si="14"/>
        <v>0</v>
      </c>
      <c r="BD47" s="50">
        <f t="shared" si="28"/>
        <v>19502.533749999999</v>
      </c>
      <c r="BE47" s="57">
        <f t="shared" si="15"/>
        <v>1767</v>
      </c>
      <c r="BF47" s="50">
        <f t="shared" si="29"/>
        <v>120</v>
      </c>
      <c r="BG47" s="58">
        <f t="shared" si="35"/>
        <v>0</v>
      </c>
      <c r="BH47" s="55">
        <f t="shared" si="33"/>
        <v>0</v>
      </c>
      <c r="BI47" s="55">
        <f t="shared" si="33"/>
        <v>0</v>
      </c>
      <c r="BJ47" s="55">
        <f t="shared" si="17"/>
        <v>397.5</v>
      </c>
      <c r="BK47" s="59">
        <v>25</v>
      </c>
      <c r="BL47" s="55">
        <f t="shared" si="18"/>
        <v>2309.5</v>
      </c>
      <c r="BM47" s="61">
        <f t="shared" si="19"/>
        <v>17193</v>
      </c>
      <c r="BN47" s="57">
        <f t="shared" si="20"/>
        <v>1914</v>
      </c>
      <c r="BO47" s="55">
        <f t="shared" si="31"/>
        <v>520</v>
      </c>
      <c r="BP47" s="55">
        <v>75</v>
      </c>
      <c r="BQ47" s="55">
        <v>300</v>
      </c>
      <c r="BR47" s="55">
        <f t="shared" si="32"/>
        <v>1459</v>
      </c>
      <c r="BS47" s="50">
        <f t="shared" si="21"/>
        <v>23770.533749999999</v>
      </c>
    </row>
    <row r="48" spans="1:73" s="62" customFormat="1" ht="15.75" x14ac:dyDescent="0.25">
      <c r="A48" s="31">
        <v>40</v>
      </c>
      <c r="B48" s="32"/>
      <c r="C48" s="33" t="s">
        <v>375</v>
      </c>
      <c r="D48" s="34" t="s">
        <v>376</v>
      </c>
      <c r="E48" s="35" t="s">
        <v>377</v>
      </c>
      <c r="F48" s="35" t="s">
        <v>78</v>
      </c>
      <c r="G48" s="36" t="s">
        <v>378</v>
      </c>
      <c r="H48" s="37" t="s">
        <v>379</v>
      </c>
      <c r="I48" s="38" t="s">
        <v>380</v>
      </c>
      <c r="J48" s="39">
        <v>403677258448</v>
      </c>
      <c r="K48" s="40" t="s">
        <v>230</v>
      </c>
      <c r="L48" s="41" t="s">
        <v>381</v>
      </c>
      <c r="M48" s="41" t="s">
        <v>382</v>
      </c>
      <c r="N48" s="42" t="s">
        <v>383</v>
      </c>
      <c r="O48" s="43" t="s">
        <v>384</v>
      </c>
      <c r="P48" s="44">
        <v>9921401127</v>
      </c>
      <c r="Q48" s="40"/>
      <c r="R48" s="35" t="s">
        <v>385</v>
      </c>
      <c r="S48" s="45" t="s">
        <v>386</v>
      </c>
      <c r="T48" s="45" t="s">
        <v>387</v>
      </c>
      <c r="U48" s="46" t="s">
        <v>90</v>
      </c>
      <c r="V48" s="47">
        <v>24</v>
      </c>
      <c r="W48" s="48">
        <v>0</v>
      </c>
      <c r="X48" s="48">
        <v>0</v>
      </c>
      <c r="Y48" s="49">
        <f t="shared" si="0"/>
        <v>24</v>
      </c>
      <c r="Z48" s="50"/>
      <c r="AA48" s="51"/>
      <c r="AB48" s="52">
        <f t="shared" si="1"/>
        <v>360</v>
      </c>
      <c r="AC48" s="51"/>
      <c r="AD48" s="51"/>
      <c r="AE48" s="53">
        <v>15525</v>
      </c>
      <c r="AF48" s="54">
        <f t="shared" si="2"/>
        <v>776.25</v>
      </c>
      <c r="AG48" s="53">
        <v>500</v>
      </c>
      <c r="AH48" s="53">
        <v>0</v>
      </c>
      <c r="AI48" s="55">
        <f t="shared" si="34"/>
        <v>1293.2325000000001</v>
      </c>
      <c r="AJ48" s="55">
        <f t="shared" si="22"/>
        <v>776.25</v>
      </c>
      <c r="AK48" s="50">
        <f t="shared" si="23"/>
        <v>18870.732499999998</v>
      </c>
      <c r="AL48" s="50">
        <v>1500</v>
      </c>
      <c r="AM48" s="50">
        <v>1950</v>
      </c>
      <c r="AN48" s="50">
        <f t="shared" si="24"/>
        <v>571.26875000000007</v>
      </c>
      <c r="AO48" s="50">
        <v>300</v>
      </c>
      <c r="AP48" s="50">
        <f t="shared" si="25"/>
        <v>1518.4400874999999</v>
      </c>
      <c r="AQ48" s="50">
        <f t="shared" si="26"/>
        <v>24710.441337499997</v>
      </c>
      <c r="AR48" s="52">
        <f t="shared" si="4"/>
        <v>915.20153101851838</v>
      </c>
      <c r="AS48" s="52">
        <f t="shared" si="5"/>
        <v>77.78356481481481</v>
      </c>
      <c r="AT48" s="52">
        <f t="shared" si="6"/>
        <v>85.933337818287043</v>
      </c>
      <c r="AU48" s="50">
        <f t="shared" si="7"/>
        <v>13800</v>
      </c>
      <c r="AV48" s="50">
        <f t="shared" si="8"/>
        <v>690</v>
      </c>
      <c r="AW48" s="50">
        <f t="shared" si="9"/>
        <v>444.44444444444446</v>
      </c>
      <c r="AX48" s="50">
        <f t="shared" si="10"/>
        <v>0</v>
      </c>
      <c r="AY48" s="50">
        <f t="shared" si="11"/>
        <v>1149.54</v>
      </c>
      <c r="AZ48" s="50">
        <f t="shared" si="27"/>
        <v>690</v>
      </c>
      <c r="BA48" s="56">
        <f t="shared" si="12"/>
        <v>1333</v>
      </c>
      <c r="BB48" s="50">
        <f t="shared" si="13"/>
        <v>0</v>
      </c>
      <c r="BC48" s="50">
        <f t="shared" si="14"/>
        <v>0</v>
      </c>
      <c r="BD48" s="50">
        <f t="shared" si="28"/>
        <v>18106.984444444446</v>
      </c>
      <c r="BE48" s="57">
        <f t="shared" si="15"/>
        <v>1600</v>
      </c>
      <c r="BF48" s="50">
        <f t="shared" si="29"/>
        <v>113</v>
      </c>
      <c r="BG48" s="58">
        <f t="shared" si="30"/>
        <v>200</v>
      </c>
      <c r="BH48" s="55">
        <f t="shared" si="33"/>
        <v>0</v>
      </c>
      <c r="BI48" s="55">
        <f t="shared" si="33"/>
        <v>0</v>
      </c>
      <c r="BJ48" s="55">
        <f t="shared" si="17"/>
        <v>360</v>
      </c>
      <c r="BK48" s="59">
        <v>25</v>
      </c>
      <c r="BL48" s="55">
        <f t="shared" si="18"/>
        <v>2298</v>
      </c>
      <c r="BM48" s="61">
        <f t="shared" si="19"/>
        <v>15809</v>
      </c>
      <c r="BN48" s="57">
        <f t="shared" si="20"/>
        <v>1733</v>
      </c>
      <c r="BO48" s="55">
        <f t="shared" si="31"/>
        <v>485</v>
      </c>
      <c r="BP48" s="55">
        <v>75</v>
      </c>
      <c r="BQ48" s="55">
        <v>300</v>
      </c>
      <c r="BR48" s="55">
        <f t="shared" si="32"/>
        <v>1356</v>
      </c>
      <c r="BS48" s="50">
        <f t="shared" si="21"/>
        <v>22055.984444444446</v>
      </c>
    </row>
    <row r="49" spans="1:71" s="62" customFormat="1" ht="15.75" x14ac:dyDescent="0.25">
      <c r="A49" s="31">
        <v>41</v>
      </c>
      <c r="B49" s="32"/>
      <c r="C49" s="33" t="s">
        <v>388</v>
      </c>
      <c r="D49" s="34" t="s">
        <v>389</v>
      </c>
      <c r="E49" s="35" t="s">
        <v>390</v>
      </c>
      <c r="F49" s="35" t="s">
        <v>78</v>
      </c>
      <c r="G49" s="36" t="s">
        <v>391</v>
      </c>
      <c r="H49" s="37" t="s">
        <v>392</v>
      </c>
      <c r="I49" s="38" t="s">
        <v>380</v>
      </c>
      <c r="J49" s="39">
        <v>391272941105</v>
      </c>
      <c r="K49" s="40" t="s">
        <v>393</v>
      </c>
      <c r="L49" s="41" t="s">
        <v>394</v>
      </c>
      <c r="M49" s="41" t="s">
        <v>395</v>
      </c>
      <c r="N49" s="42" t="s">
        <v>396</v>
      </c>
      <c r="O49" s="43">
        <v>2504757890</v>
      </c>
      <c r="P49" s="44">
        <v>9168823072</v>
      </c>
      <c r="Q49" s="40"/>
      <c r="R49" s="35" t="s">
        <v>135</v>
      </c>
      <c r="S49" s="45" t="s">
        <v>88</v>
      </c>
      <c r="T49" s="45" t="s">
        <v>89</v>
      </c>
      <c r="U49" s="46" t="s">
        <v>90</v>
      </c>
      <c r="V49" s="47">
        <v>25</v>
      </c>
      <c r="W49" s="48">
        <v>0</v>
      </c>
      <c r="X49" s="48">
        <v>0</v>
      </c>
      <c r="Y49" s="49">
        <f t="shared" si="0"/>
        <v>25</v>
      </c>
      <c r="Z49" s="50"/>
      <c r="AA49" s="51"/>
      <c r="AB49" s="52">
        <f t="shared" si="1"/>
        <v>375</v>
      </c>
      <c r="AC49" s="51"/>
      <c r="AD49" s="51"/>
      <c r="AE49" s="53">
        <v>15525</v>
      </c>
      <c r="AF49" s="54">
        <f t="shared" si="2"/>
        <v>776.25</v>
      </c>
      <c r="AG49" s="53">
        <v>0</v>
      </c>
      <c r="AH49" s="53">
        <v>0</v>
      </c>
      <c r="AI49" s="55">
        <f t="shared" si="34"/>
        <v>1293.2325000000001</v>
      </c>
      <c r="AJ49" s="55">
        <f t="shared" si="22"/>
        <v>776.25</v>
      </c>
      <c r="AK49" s="50">
        <f t="shared" si="23"/>
        <v>18370.732499999998</v>
      </c>
      <c r="AL49" s="50">
        <v>1500</v>
      </c>
      <c r="AM49" s="50">
        <v>1950</v>
      </c>
      <c r="AN49" s="50">
        <f t="shared" si="24"/>
        <v>555.01875000000007</v>
      </c>
      <c r="AO49" s="50">
        <v>300</v>
      </c>
      <c r="AP49" s="50">
        <f t="shared" si="25"/>
        <v>1482.3025875000001</v>
      </c>
      <c r="AQ49" s="50">
        <f t="shared" si="26"/>
        <v>24158.053837499996</v>
      </c>
      <c r="AR49" s="52">
        <f t="shared" si="4"/>
        <v>894.74273472222205</v>
      </c>
      <c r="AS49" s="52">
        <f t="shared" si="5"/>
        <v>75.46875</v>
      </c>
      <c r="AT49" s="52">
        <f t="shared" si="6"/>
        <v>83.375988281250002</v>
      </c>
      <c r="AU49" s="50">
        <f t="shared" si="7"/>
        <v>14375</v>
      </c>
      <c r="AV49" s="50">
        <f t="shared" si="8"/>
        <v>718.75</v>
      </c>
      <c r="AW49" s="50">
        <f t="shared" si="9"/>
        <v>0</v>
      </c>
      <c r="AX49" s="50">
        <f t="shared" si="10"/>
        <v>0</v>
      </c>
      <c r="AY49" s="50">
        <f t="shared" si="11"/>
        <v>1197.4375</v>
      </c>
      <c r="AZ49" s="50">
        <f t="shared" si="27"/>
        <v>718.75</v>
      </c>
      <c r="BA49" s="56">
        <f t="shared" si="12"/>
        <v>1389</v>
      </c>
      <c r="BB49" s="50">
        <f t="shared" si="13"/>
        <v>0</v>
      </c>
      <c r="BC49" s="50">
        <f t="shared" si="14"/>
        <v>0</v>
      </c>
      <c r="BD49" s="50">
        <f t="shared" si="28"/>
        <v>18398.9375</v>
      </c>
      <c r="BE49" s="57">
        <f t="shared" si="15"/>
        <v>1667</v>
      </c>
      <c r="BF49" s="50">
        <f t="shared" si="29"/>
        <v>114</v>
      </c>
      <c r="BG49" s="58">
        <f t="shared" si="30"/>
        <v>200</v>
      </c>
      <c r="BH49" s="55">
        <f t="shared" si="33"/>
        <v>0</v>
      </c>
      <c r="BI49" s="55">
        <f t="shared" si="33"/>
        <v>0</v>
      </c>
      <c r="BJ49" s="55">
        <f t="shared" si="17"/>
        <v>375</v>
      </c>
      <c r="BK49" s="59">
        <v>25</v>
      </c>
      <c r="BL49" s="55">
        <f t="shared" si="18"/>
        <v>2381</v>
      </c>
      <c r="BM49" s="61">
        <f t="shared" si="19"/>
        <v>16018</v>
      </c>
      <c r="BN49" s="57">
        <f t="shared" si="20"/>
        <v>1806</v>
      </c>
      <c r="BO49" s="55">
        <f t="shared" si="31"/>
        <v>491</v>
      </c>
      <c r="BP49" s="55">
        <v>75</v>
      </c>
      <c r="BQ49" s="55">
        <v>300</v>
      </c>
      <c r="BR49" s="55">
        <f t="shared" si="32"/>
        <v>1378</v>
      </c>
      <c r="BS49" s="50">
        <f t="shared" si="21"/>
        <v>22448.9375</v>
      </c>
    </row>
    <row r="50" spans="1:71" s="62" customFormat="1" ht="15.75" x14ac:dyDescent="0.25">
      <c r="A50" s="31">
        <v>42</v>
      </c>
      <c r="B50" s="32"/>
      <c r="C50" s="33" t="s">
        <v>397</v>
      </c>
      <c r="D50" s="34" t="s">
        <v>398</v>
      </c>
      <c r="E50" s="35" t="s">
        <v>399</v>
      </c>
      <c r="F50" s="35" t="s">
        <v>78</v>
      </c>
      <c r="G50" s="36" t="s">
        <v>400</v>
      </c>
      <c r="H50" s="37" t="s">
        <v>401</v>
      </c>
      <c r="I50" s="38" t="s">
        <v>380</v>
      </c>
      <c r="J50" s="39">
        <v>913022226099</v>
      </c>
      <c r="K50" s="40" t="s">
        <v>141</v>
      </c>
      <c r="L50" s="41">
        <v>345902120007124</v>
      </c>
      <c r="M50" s="41" t="s">
        <v>173</v>
      </c>
      <c r="N50" s="42" t="s">
        <v>402</v>
      </c>
      <c r="O50" s="43">
        <v>2504758777</v>
      </c>
      <c r="P50" s="44">
        <v>8390606661</v>
      </c>
      <c r="Q50" s="40"/>
      <c r="R50" s="35" t="s">
        <v>403</v>
      </c>
      <c r="S50" s="45" t="s">
        <v>88</v>
      </c>
      <c r="T50" s="45" t="s">
        <v>89</v>
      </c>
      <c r="U50" s="46" t="s">
        <v>90</v>
      </c>
      <c r="V50" s="47">
        <v>24.5</v>
      </c>
      <c r="W50" s="48">
        <v>0</v>
      </c>
      <c r="X50" s="48">
        <v>0</v>
      </c>
      <c r="Y50" s="49">
        <f t="shared" si="0"/>
        <v>24.5</v>
      </c>
      <c r="Z50" s="50"/>
      <c r="AA50" s="51"/>
      <c r="AB50" s="52">
        <f t="shared" si="1"/>
        <v>367.5</v>
      </c>
      <c r="AC50" s="51"/>
      <c r="AD50" s="51"/>
      <c r="AE50" s="53">
        <v>15525</v>
      </c>
      <c r="AF50" s="54">
        <f t="shared" si="2"/>
        <v>776.25</v>
      </c>
      <c r="AG50" s="53">
        <v>0</v>
      </c>
      <c r="AH50" s="53">
        <v>0</v>
      </c>
      <c r="AI50" s="55">
        <f t="shared" si="34"/>
        <v>1293.2325000000001</v>
      </c>
      <c r="AJ50" s="55">
        <f t="shared" si="22"/>
        <v>776.25</v>
      </c>
      <c r="AK50" s="50">
        <f t="shared" si="23"/>
        <v>18370.732499999998</v>
      </c>
      <c r="AL50" s="50">
        <v>1500</v>
      </c>
      <c r="AM50" s="50">
        <v>1950</v>
      </c>
      <c r="AN50" s="50">
        <f t="shared" si="24"/>
        <v>555.01875000000007</v>
      </c>
      <c r="AO50" s="50">
        <v>300</v>
      </c>
      <c r="AP50" s="50">
        <f t="shared" si="25"/>
        <v>1482.3025875000001</v>
      </c>
      <c r="AQ50" s="50">
        <f t="shared" si="26"/>
        <v>24158.053837499996</v>
      </c>
      <c r="AR50" s="52">
        <f t="shared" si="4"/>
        <v>894.74273472222205</v>
      </c>
      <c r="AS50" s="52">
        <f t="shared" si="5"/>
        <v>75.46875</v>
      </c>
      <c r="AT50" s="52">
        <f t="shared" si="6"/>
        <v>83.375988281250002</v>
      </c>
      <c r="AU50" s="50">
        <f t="shared" si="7"/>
        <v>14087.5</v>
      </c>
      <c r="AV50" s="50">
        <f t="shared" si="8"/>
        <v>704.375</v>
      </c>
      <c r="AW50" s="50">
        <f t="shared" si="9"/>
        <v>0</v>
      </c>
      <c r="AX50" s="50">
        <f t="shared" si="10"/>
        <v>0</v>
      </c>
      <c r="AY50" s="50">
        <f t="shared" si="11"/>
        <v>1173.48875</v>
      </c>
      <c r="AZ50" s="50">
        <f t="shared" si="27"/>
        <v>704.375</v>
      </c>
      <c r="BA50" s="56">
        <f t="shared" si="12"/>
        <v>1361</v>
      </c>
      <c r="BB50" s="50">
        <f t="shared" si="13"/>
        <v>0</v>
      </c>
      <c r="BC50" s="50">
        <f t="shared" si="14"/>
        <v>0</v>
      </c>
      <c r="BD50" s="50">
        <f t="shared" si="28"/>
        <v>18030.73875</v>
      </c>
      <c r="BE50" s="57">
        <f t="shared" si="15"/>
        <v>1633</v>
      </c>
      <c r="BF50" s="50">
        <f t="shared" si="29"/>
        <v>111</v>
      </c>
      <c r="BG50" s="58">
        <f t="shared" si="30"/>
        <v>200</v>
      </c>
      <c r="BH50" s="55">
        <f t="shared" si="33"/>
        <v>0</v>
      </c>
      <c r="BI50" s="55">
        <f t="shared" si="33"/>
        <v>0</v>
      </c>
      <c r="BJ50" s="55">
        <f t="shared" si="17"/>
        <v>367.5</v>
      </c>
      <c r="BK50" s="59">
        <v>25</v>
      </c>
      <c r="BL50" s="55">
        <f t="shared" si="18"/>
        <v>2336.5</v>
      </c>
      <c r="BM50" s="61">
        <f t="shared" si="19"/>
        <v>15694</v>
      </c>
      <c r="BN50" s="57">
        <f t="shared" si="20"/>
        <v>1769</v>
      </c>
      <c r="BO50" s="55">
        <f t="shared" si="31"/>
        <v>481</v>
      </c>
      <c r="BP50" s="55">
        <v>75</v>
      </c>
      <c r="BQ50" s="55">
        <v>300</v>
      </c>
      <c r="BR50" s="55">
        <f t="shared" si="32"/>
        <v>1351</v>
      </c>
      <c r="BS50" s="50">
        <f t="shared" si="21"/>
        <v>22006.73875</v>
      </c>
    </row>
    <row r="51" spans="1:71" s="62" customFormat="1" ht="15.75" x14ac:dyDescent="0.25">
      <c r="A51" s="31">
        <v>43</v>
      </c>
      <c r="B51" s="32"/>
      <c r="C51" s="33" t="s">
        <v>404</v>
      </c>
      <c r="D51" s="34" t="s">
        <v>405</v>
      </c>
      <c r="E51" s="35" t="s">
        <v>237</v>
      </c>
      <c r="F51" s="35" t="s">
        <v>78</v>
      </c>
      <c r="G51" s="36" t="s">
        <v>406</v>
      </c>
      <c r="H51" s="37" t="s">
        <v>407</v>
      </c>
      <c r="I51" s="38" t="s">
        <v>380</v>
      </c>
      <c r="J51" s="39">
        <v>553440702594</v>
      </c>
      <c r="K51" s="40" t="s">
        <v>96</v>
      </c>
      <c r="L51" s="41">
        <v>37970002487</v>
      </c>
      <c r="M51" s="41" t="s">
        <v>316</v>
      </c>
      <c r="N51" s="42" t="s">
        <v>408</v>
      </c>
      <c r="O51" s="43">
        <v>2504758791</v>
      </c>
      <c r="P51" s="44">
        <v>7499266490</v>
      </c>
      <c r="Q51" s="40"/>
      <c r="R51" s="35" t="s">
        <v>135</v>
      </c>
      <c r="S51" s="45" t="s">
        <v>88</v>
      </c>
      <c r="T51" s="45" t="s">
        <v>89</v>
      </c>
      <c r="U51" s="46" t="s">
        <v>90</v>
      </c>
      <c r="V51" s="47">
        <v>24.5</v>
      </c>
      <c r="W51" s="48">
        <v>0</v>
      </c>
      <c r="X51" s="48">
        <v>0</v>
      </c>
      <c r="Y51" s="49">
        <f t="shared" si="0"/>
        <v>24.5</v>
      </c>
      <c r="Z51" s="50"/>
      <c r="AA51" s="51"/>
      <c r="AB51" s="52">
        <f t="shared" si="1"/>
        <v>367.5</v>
      </c>
      <c r="AC51" s="51"/>
      <c r="AD51" s="51"/>
      <c r="AE51" s="53">
        <v>15525</v>
      </c>
      <c r="AF51" s="54">
        <f t="shared" si="2"/>
        <v>776.25</v>
      </c>
      <c r="AG51" s="53">
        <v>0</v>
      </c>
      <c r="AH51" s="53">
        <v>0</v>
      </c>
      <c r="AI51" s="55">
        <f t="shared" si="34"/>
        <v>1293.2325000000001</v>
      </c>
      <c r="AJ51" s="55">
        <f t="shared" si="22"/>
        <v>776.25</v>
      </c>
      <c r="AK51" s="50">
        <f t="shared" si="23"/>
        <v>18370.732499999998</v>
      </c>
      <c r="AL51" s="50">
        <v>1500</v>
      </c>
      <c r="AM51" s="50">
        <v>1950</v>
      </c>
      <c r="AN51" s="50">
        <f t="shared" si="24"/>
        <v>555.01875000000007</v>
      </c>
      <c r="AO51" s="50">
        <v>300</v>
      </c>
      <c r="AP51" s="50">
        <f t="shared" si="25"/>
        <v>1482.3025875000001</v>
      </c>
      <c r="AQ51" s="50">
        <f t="shared" si="26"/>
        <v>24158.053837499996</v>
      </c>
      <c r="AR51" s="52">
        <f t="shared" si="4"/>
        <v>894.74273472222205</v>
      </c>
      <c r="AS51" s="52">
        <f t="shared" si="5"/>
        <v>75.46875</v>
      </c>
      <c r="AT51" s="52">
        <f t="shared" si="6"/>
        <v>83.375988281250002</v>
      </c>
      <c r="AU51" s="50">
        <f t="shared" si="7"/>
        <v>14087.5</v>
      </c>
      <c r="AV51" s="50">
        <f t="shared" si="8"/>
        <v>704.375</v>
      </c>
      <c r="AW51" s="50">
        <f t="shared" si="9"/>
        <v>0</v>
      </c>
      <c r="AX51" s="50">
        <f t="shared" si="10"/>
        <v>0</v>
      </c>
      <c r="AY51" s="50">
        <f t="shared" si="11"/>
        <v>1173.48875</v>
      </c>
      <c r="AZ51" s="50">
        <f t="shared" si="27"/>
        <v>704.375</v>
      </c>
      <c r="BA51" s="56">
        <f t="shared" si="12"/>
        <v>1361</v>
      </c>
      <c r="BB51" s="50">
        <f t="shared" si="13"/>
        <v>0</v>
      </c>
      <c r="BC51" s="50">
        <f t="shared" si="14"/>
        <v>0</v>
      </c>
      <c r="BD51" s="50">
        <f t="shared" si="28"/>
        <v>18030.73875</v>
      </c>
      <c r="BE51" s="57">
        <f t="shared" si="15"/>
        <v>1633</v>
      </c>
      <c r="BF51" s="50">
        <f t="shared" si="29"/>
        <v>111</v>
      </c>
      <c r="BG51" s="58">
        <f t="shared" si="30"/>
        <v>200</v>
      </c>
      <c r="BH51" s="55">
        <f t="shared" si="33"/>
        <v>0</v>
      </c>
      <c r="BI51" s="55">
        <f t="shared" si="33"/>
        <v>0</v>
      </c>
      <c r="BJ51" s="55">
        <f t="shared" si="17"/>
        <v>367.5</v>
      </c>
      <c r="BK51" s="59">
        <v>25</v>
      </c>
      <c r="BL51" s="55">
        <f t="shared" si="18"/>
        <v>2336.5</v>
      </c>
      <c r="BM51" s="61">
        <f t="shared" si="19"/>
        <v>15694</v>
      </c>
      <c r="BN51" s="57">
        <f t="shared" si="20"/>
        <v>1769</v>
      </c>
      <c r="BO51" s="55">
        <f t="shared" si="31"/>
        <v>481</v>
      </c>
      <c r="BP51" s="55">
        <v>75</v>
      </c>
      <c r="BQ51" s="55">
        <v>300</v>
      </c>
      <c r="BR51" s="55">
        <f t="shared" si="32"/>
        <v>1351</v>
      </c>
      <c r="BS51" s="50">
        <f t="shared" si="21"/>
        <v>22006.73875</v>
      </c>
    </row>
    <row r="52" spans="1:71" s="62" customFormat="1" ht="15.75" x14ac:dyDescent="0.25">
      <c r="A52" s="31">
        <v>44</v>
      </c>
      <c r="B52" s="32"/>
      <c r="C52" s="33" t="s">
        <v>409</v>
      </c>
      <c r="D52" s="34" t="s">
        <v>410</v>
      </c>
      <c r="E52" s="35" t="s">
        <v>411</v>
      </c>
      <c r="F52" s="35" t="s">
        <v>412</v>
      </c>
      <c r="G52" s="36" t="s">
        <v>413</v>
      </c>
      <c r="H52" s="37" t="s">
        <v>414</v>
      </c>
      <c r="I52" s="38" t="s">
        <v>415</v>
      </c>
      <c r="J52" s="39">
        <v>569193894351</v>
      </c>
      <c r="K52" s="40" t="s">
        <v>96</v>
      </c>
      <c r="L52" s="41">
        <v>34251797095</v>
      </c>
      <c r="M52" s="41" t="s">
        <v>98</v>
      </c>
      <c r="N52" s="42" t="s">
        <v>416</v>
      </c>
      <c r="O52" s="43" t="s">
        <v>417</v>
      </c>
      <c r="P52" s="44">
        <v>7448117118</v>
      </c>
      <c r="Q52" s="40"/>
      <c r="R52" s="35" t="s">
        <v>418</v>
      </c>
      <c r="S52" s="45" t="s">
        <v>88</v>
      </c>
      <c r="T52" s="45" t="s">
        <v>89</v>
      </c>
      <c r="U52" s="46" t="s">
        <v>90</v>
      </c>
      <c r="V52" s="47">
        <v>27</v>
      </c>
      <c r="W52" s="48">
        <v>0</v>
      </c>
      <c r="X52" s="48">
        <v>0</v>
      </c>
      <c r="Y52" s="49">
        <f t="shared" si="0"/>
        <v>27</v>
      </c>
      <c r="Z52" s="50"/>
      <c r="AA52" s="51"/>
      <c r="AB52" s="52">
        <f t="shared" si="1"/>
        <v>405</v>
      </c>
      <c r="AC52" s="51"/>
      <c r="AD52" s="51"/>
      <c r="AE52" s="53">
        <v>15525</v>
      </c>
      <c r="AF52" s="54">
        <f t="shared" si="2"/>
        <v>776.25</v>
      </c>
      <c r="AG52" s="53">
        <v>0</v>
      </c>
      <c r="AH52" s="53">
        <v>0</v>
      </c>
      <c r="AI52" s="55">
        <f t="shared" si="34"/>
        <v>1293.2325000000001</v>
      </c>
      <c r="AJ52" s="55">
        <f t="shared" si="22"/>
        <v>776.25</v>
      </c>
      <c r="AK52" s="50">
        <f t="shared" si="23"/>
        <v>18370.732499999998</v>
      </c>
      <c r="AL52" s="50">
        <v>1500</v>
      </c>
      <c r="AM52" s="50">
        <v>1950</v>
      </c>
      <c r="AN52" s="50">
        <f t="shared" si="24"/>
        <v>555.01875000000007</v>
      </c>
      <c r="AO52" s="50">
        <v>300</v>
      </c>
      <c r="AP52" s="50">
        <f t="shared" si="25"/>
        <v>1482.3025875000001</v>
      </c>
      <c r="AQ52" s="50">
        <f t="shared" si="26"/>
        <v>24158.053837499996</v>
      </c>
      <c r="AR52" s="52">
        <f t="shared" si="4"/>
        <v>894.74273472222205</v>
      </c>
      <c r="AS52" s="52">
        <f t="shared" si="5"/>
        <v>75.46875</v>
      </c>
      <c r="AT52" s="52">
        <f t="shared" si="6"/>
        <v>83.375988281250002</v>
      </c>
      <c r="AU52" s="50">
        <f t="shared" si="7"/>
        <v>15525</v>
      </c>
      <c r="AV52" s="50">
        <f t="shared" si="8"/>
        <v>776.25</v>
      </c>
      <c r="AW52" s="50">
        <f t="shared" si="9"/>
        <v>0</v>
      </c>
      <c r="AX52" s="50">
        <f t="shared" si="10"/>
        <v>0</v>
      </c>
      <c r="AY52" s="50">
        <f t="shared" si="11"/>
        <v>1293.2325000000001</v>
      </c>
      <c r="AZ52" s="50">
        <f t="shared" si="27"/>
        <v>776.25</v>
      </c>
      <c r="BA52" s="56">
        <f t="shared" si="12"/>
        <v>1500</v>
      </c>
      <c r="BB52" s="50">
        <f t="shared" si="13"/>
        <v>0</v>
      </c>
      <c r="BC52" s="50">
        <f t="shared" si="14"/>
        <v>0</v>
      </c>
      <c r="BD52" s="50">
        <f t="shared" si="28"/>
        <v>19870.732499999998</v>
      </c>
      <c r="BE52" s="57">
        <f t="shared" si="15"/>
        <v>1800</v>
      </c>
      <c r="BF52" s="50">
        <f t="shared" si="29"/>
        <v>123</v>
      </c>
      <c r="BG52" s="58">
        <f t="shared" si="30"/>
        <v>200</v>
      </c>
      <c r="BH52" s="55">
        <f t="shared" si="33"/>
        <v>0</v>
      </c>
      <c r="BI52" s="55">
        <f t="shared" si="33"/>
        <v>0</v>
      </c>
      <c r="BJ52" s="55">
        <f t="shared" si="17"/>
        <v>405</v>
      </c>
      <c r="BK52" s="59">
        <v>25</v>
      </c>
      <c r="BL52" s="55">
        <f t="shared" si="18"/>
        <v>2553</v>
      </c>
      <c r="BM52" s="61">
        <f t="shared" si="19"/>
        <v>17318</v>
      </c>
      <c r="BN52" s="57">
        <f t="shared" si="20"/>
        <v>1950</v>
      </c>
      <c r="BO52" s="55">
        <f t="shared" si="31"/>
        <v>530</v>
      </c>
      <c r="BP52" s="55">
        <v>75</v>
      </c>
      <c r="BQ52" s="55">
        <v>300</v>
      </c>
      <c r="BR52" s="55">
        <f t="shared" si="32"/>
        <v>1486</v>
      </c>
      <c r="BS52" s="50">
        <f t="shared" si="21"/>
        <v>24211.732499999998</v>
      </c>
    </row>
    <row r="53" spans="1:71" s="62" customFormat="1" ht="15.75" x14ac:dyDescent="0.25">
      <c r="A53" s="31">
        <v>45</v>
      </c>
      <c r="B53" s="32"/>
      <c r="C53" s="33" t="s">
        <v>419</v>
      </c>
      <c r="D53" s="34" t="s">
        <v>420</v>
      </c>
      <c r="E53" s="35" t="s">
        <v>421</v>
      </c>
      <c r="F53" s="35" t="s">
        <v>412</v>
      </c>
      <c r="G53" s="36" t="s">
        <v>422</v>
      </c>
      <c r="H53" s="37" t="s">
        <v>423</v>
      </c>
      <c r="I53" s="38" t="s">
        <v>415</v>
      </c>
      <c r="J53" s="39">
        <v>947004115901</v>
      </c>
      <c r="K53" s="40" t="s">
        <v>424</v>
      </c>
      <c r="L53" s="41">
        <v>917010061459865</v>
      </c>
      <c r="M53" s="41" t="s">
        <v>425</v>
      </c>
      <c r="N53" s="42" t="s">
        <v>426</v>
      </c>
      <c r="O53" s="43">
        <v>2504798974</v>
      </c>
      <c r="P53" s="44">
        <v>9325737791</v>
      </c>
      <c r="Q53" s="40"/>
      <c r="R53" s="35" t="s">
        <v>87</v>
      </c>
      <c r="S53" s="45" t="s">
        <v>88</v>
      </c>
      <c r="T53" s="45" t="s">
        <v>89</v>
      </c>
      <c r="U53" s="46" t="s">
        <v>90</v>
      </c>
      <c r="V53" s="47">
        <v>27</v>
      </c>
      <c r="W53" s="48">
        <v>0</v>
      </c>
      <c r="X53" s="48">
        <v>0</v>
      </c>
      <c r="Y53" s="49">
        <f t="shared" si="0"/>
        <v>27</v>
      </c>
      <c r="Z53" s="50"/>
      <c r="AA53" s="51"/>
      <c r="AB53" s="52">
        <f t="shared" si="1"/>
        <v>405</v>
      </c>
      <c r="AC53" s="51"/>
      <c r="AD53" s="51"/>
      <c r="AE53" s="53">
        <v>15525</v>
      </c>
      <c r="AF53" s="54">
        <f t="shared" si="2"/>
        <v>776.25</v>
      </c>
      <c r="AG53" s="53">
        <v>0</v>
      </c>
      <c r="AH53" s="53">
        <v>0</v>
      </c>
      <c r="AI53" s="55">
        <f t="shared" si="34"/>
        <v>1293.2325000000001</v>
      </c>
      <c r="AJ53" s="55">
        <f t="shared" si="22"/>
        <v>776.25</v>
      </c>
      <c r="AK53" s="50">
        <f t="shared" si="23"/>
        <v>18370.732499999998</v>
      </c>
      <c r="AL53" s="50">
        <v>1500</v>
      </c>
      <c r="AM53" s="50">
        <v>1950</v>
      </c>
      <c r="AN53" s="50">
        <f t="shared" si="24"/>
        <v>555.01875000000007</v>
      </c>
      <c r="AO53" s="50">
        <v>300</v>
      </c>
      <c r="AP53" s="50">
        <f t="shared" si="25"/>
        <v>1482.3025875000001</v>
      </c>
      <c r="AQ53" s="50">
        <f t="shared" si="26"/>
        <v>24158.053837499996</v>
      </c>
      <c r="AR53" s="52">
        <f t="shared" si="4"/>
        <v>894.74273472222205</v>
      </c>
      <c r="AS53" s="52">
        <f t="shared" si="5"/>
        <v>75.46875</v>
      </c>
      <c r="AT53" s="52">
        <f t="shared" si="6"/>
        <v>83.375988281250002</v>
      </c>
      <c r="AU53" s="50">
        <f t="shared" si="7"/>
        <v>15525</v>
      </c>
      <c r="AV53" s="50">
        <f t="shared" si="8"/>
        <v>776.25</v>
      </c>
      <c r="AW53" s="50">
        <f t="shared" si="9"/>
        <v>0</v>
      </c>
      <c r="AX53" s="50">
        <f t="shared" si="10"/>
        <v>0</v>
      </c>
      <c r="AY53" s="50">
        <f t="shared" si="11"/>
        <v>1293.2325000000001</v>
      </c>
      <c r="AZ53" s="50">
        <f t="shared" si="27"/>
        <v>776.25</v>
      </c>
      <c r="BA53" s="56">
        <f t="shared" si="12"/>
        <v>1500</v>
      </c>
      <c r="BB53" s="50">
        <f t="shared" si="13"/>
        <v>0</v>
      </c>
      <c r="BC53" s="50">
        <f t="shared" si="14"/>
        <v>0</v>
      </c>
      <c r="BD53" s="50">
        <f t="shared" si="28"/>
        <v>19870.732499999998</v>
      </c>
      <c r="BE53" s="57">
        <f t="shared" si="15"/>
        <v>1800</v>
      </c>
      <c r="BF53" s="50">
        <f t="shared" si="29"/>
        <v>123</v>
      </c>
      <c r="BG53" s="58">
        <f t="shared" si="30"/>
        <v>200</v>
      </c>
      <c r="BH53" s="55">
        <f t="shared" si="33"/>
        <v>0</v>
      </c>
      <c r="BI53" s="55">
        <f t="shared" si="33"/>
        <v>0</v>
      </c>
      <c r="BJ53" s="55">
        <f t="shared" si="17"/>
        <v>405</v>
      </c>
      <c r="BK53" s="59">
        <v>25</v>
      </c>
      <c r="BL53" s="55">
        <f t="shared" si="18"/>
        <v>2553</v>
      </c>
      <c r="BM53" s="61">
        <f t="shared" si="19"/>
        <v>17318</v>
      </c>
      <c r="BN53" s="57">
        <f t="shared" si="20"/>
        <v>1950</v>
      </c>
      <c r="BO53" s="55">
        <f t="shared" si="31"/>
        <v>530</v>
      </c>
      <c r="BP53" s="55">
        <v>75</v>
      </c>
      <c r="BQ53" s="55">
        <v>300</v>
      </c>
      <c r="BR53" s="55">
        <f t="shared" si="32"/>
        <v>1486</v>
      </c>
      <c r="BS53" s="50">
        <f t="shared" si="21"/>
        <v>24211.732499999998</v>
      </c>
    </row>
    <row r="54" spans="1:71" s="62" customFormat="1" ht="15.75" x14ac:dyDescent="0.25">
      <c r="A54" s="31">
        <v>46</v>
      </c>
      <c r="B54" s="32"/>
      <c r="C54" s="33" t="s">
        <v>427</v>
      </c>
      <c r="D54" s="34" t="s">
        <v>428</v>
      </c>
      <c r="E54" s="35" t="s">
        <v>429</v>
      </c>
      <c r="F54" s="35" t="s">
        <v>412</v>
      </c>
      <c r="G54" s="36" t="s">
        <v>430</v>
      </c>
      <c r="H54" s="37" t="s">
        <v>431</v>
      </c>
      <c r="I54" s="38" t="s">
        <v>415</v>
      </c>
      <c r="J54" s="39">
        <v>871080917635</v>
      </c>
      <c r="K54" s="40" t="s">
        <v>96</v>
      </c>
      <c r="L54" s="41">
        <v>35141523894</v>
      </c>
      <c r="M54" s="41" t="s">
        <v>132</v>
      </c>
      <c r="N54" s="42" t="s">
        <v>432</v>
      </c>
      <c r="O54" s="43" t="s">
        <v>433</v>
      </c>
      <c r="P54" s="44">
        <v>7770030968</v>
      </c>
      <c r="Q54" s="40"/>
      <c r="R54" s="35" t="s">
        <v>110</v>
      </c>
      <c r="S54" s="45" t="s">
        <v>88</v>
      </c>
      <c r="T54" s="45" t="s">
        <v>89</v>
      </c>
      <c r="U54" s="46" t="s">
        <v>90</v>
      </c>
      <c r="V54" s="65">
        <v>27</v>
      </c>
      <c r="W54" s="48">
        <v>0</v>
      </c>
      <c r="X54" s="48">
        <v>0</v>
      </c>
      <c r="Y54" s="49">
        <f t="shared" si="0"/>
        <v>27</v>
      </c>
      <c r="Z54" s="50"/>
      <c r="AA54" s="51"/>
      <c r="AB54" s="52">
        <f t="shared" si="1"/>
        <v>405</v>
      </c>
      <c r="AC54" s="51"/>
      <c r="AD54" s="51"/>
      <c r="AE54" s="53">
        <v>15525</v>
      </c>
      <c r="AF54" s="54">
        <f t="shared" si="2"/>
        <v>776.25</v>
      </c>
      <c r="AG54" s="53">
        <v>0</v>
      </c>
      <c r="AH54" s="53">
        <v>0</v>
      </c>
      <c r="AI54" s="55">
        <f t="shared" si="34"/>
        <v>1293.2325000000001</v>
      </c>
      <c r="AJ54" s="55">
        <f t="shared" si="22"/>
        <v>776.25</v>
      </c>
      <c r="AK54" s="50">
        <f t="shared" si="23"/>
        <v>18370.732499999998</v>
      </c>
      <c r="AL54" s="50">
        <v>1500</v>
      </c>
      <c r="AM54" s="50">
        <v>1950</v>
      </c>
      <c r="AN54" s="50">
        <f t="shared" si="24"/>
        <v>555.01875000000007</v>
      </c>
      <c r="AO54" s="50">
        <v>300</v>
      </c>
      <c r="AP54" s="50">
        <f t="shared" si="25"/>
        <v>1482.3025875000001</v>
      </c>
      <c r="AQ54" s="50">
        <f t="shared" si="26"/>
        <v>24158.053837499996</v>
      </c>
      <c r="AR54" s="52">
        <f t="shared" si="4"/>
        <v>894.74273472222205</v>
      </c>
      <c r="AS54" s="52">
        <f t="shared" si="5"/>
        <v>75.46875</v>
      </c>
      <c r="AT54" s="52">
        <f t="shared" si="6"/>
        <v>83.375988281250002</v>
      </c>
      <c r="AU54" s="50">
        <f t="shared" si="7"/>
        <v>15525</v>
      </c>
      <c r="AV54" s="50">
        <f t="shared" si="8"/>
        <v>776.25</v>
      </c>
      <c r="AW54" s="50">
        <f t="shared" si="9"/>
        <v>0</v>
      </c>
      <c r="AX54" s="50">
        <f t="shared" si="10"/>
        <v>0</v>
      </c>
      <c r="AY54" s="50">
        <f t="shared" si="11"/>
        <v>1293.2325000000001</v>
      </c>
      <c r="AZ54" s="50">
        <f t="shared" si="27"/>
        <v>776.25</v>
      </c>
      <c r="BA54" s="56">
        <f t="shared" si="12"/>
        <v>1500</v>
      </c>
      <c r="BB54" s="50">
        <f t="shared" si="13"/>
        <v>0</v>
      </c>
      <c r="BC54" s="50">
        <f t="shared" si="14"/>
        <v>0</v>
      </c>
      <c r="BD54" s="50">
        <f t="shared" si="28"/>
        <v>19870.732499999998</v>
      </c>
      <c r="BE54" s="57">
        <f t="shared" si="15"/>
        <v>1800</v>
      </c>
      <c r="BF54" s="50">
        <f t="shared" si="29"/>
        <v>123</v>
      </c>
      <c r="BG54" s="58">
        <f t="shared" si="30"/>
        <v>200</v>
      </c>
      <c r="BH54" s="55">
        <f t="shared" si="33"/>
        <v>0</v>
      </c>
      <c r="BI54" s="55">
        <f t="shared" si="33"/>
        <v>0</v>
      </c>
      <c r="BJ54" s="55">
        <f t="shared" si="17"/>
        <v>405</v>
      </c>
      <c r="BK54" s="59">
        <v>25</v>
      </c>
      <c r="BL54" s="55">
        <f t="shared" si="18"/>
        <v>2553</v>
      </c>
      <c r="BM54" s="61">
        <f t="shared" si="19"/>
        <v>17318</v>
      </c>
      <c r="BN54" s="57">
        <f t="shared" si="20"/>
        <v>1950</v>
      </c>
      <c r="BO54" s="55">
        <f t="shared" si="31"/>
        <v>530</v>
      </c>
      <c r="BP54" s="55">
        <v>75</v>
      </c>
      <c r="BQ54" s="55">
        <v>300</v>
      </c>
      <c r="BR54" s="55">
        <f t="shared" si="32"/>
        <v>1486</v>
      </c>
      <c r="BS54" s="50">
        <f t="shared" si="21"/>
        <v>24211.732499999998</v>
      </c>
    </row>
    <row r="55" spans="1:71" ht="15.75" x14ac:dyDescent="0.25">
      <c r="A55" s="31">
        <v>47</v>
      </c>
      <c r="B55" s="67"/>
      <c r="C55" s="33" t="s">
        <v>434</v>
      </c>
      <c r="D55" s="34" t="s">
        <v>435</v>
      </c>
      <c r="E55" s="35" t="s">
        <v>436</v>
      </c>
      <c r="F55" s="35" t="s">
        <v>412</v>
      </c>
      <c r="G55" s="36" t="s">
        <v>391</v>
      </c>
      <c r="H55" s="37" t="s">
        <v>437</v>
      </c>
      <c r="I55" s="38" t="s">
        <v>415</v>
      </c>
      <c r="J55" s="39">
        <v>224000615489</v>
      </c>
      <c r="K55" s="40" t="s">
        <v>82</v>
      </c>
      <c r="L55" s="41">
        <v>80053821780</v>
      </c>
      <c r="M55" s="41" t="s">
        <v>84</v>
      </c>
      <c r="N55" s="42" t="s">
        <v>438</v>
      </c>
      <c r="O55" s="43">
        <v>2504799207</v>
      </c>
      <c r="P55" s="44">
        <v>8265008651</v>
      </c>
      <c r="Q55" s="68"/>
      <c r="R55" s="35" t="s">
        <v>319</v>
      </c>
      <c r="S55" s="45" t="s">
        <v>88</v>
      </c>
      <c r="T55" s="45" t="s">
        <v>89</v>
      </c>
      <c r="U55" s="46" t="s">
        <v>90</v>
      </c>
      <c r="V55" s="47">
        <v>27</v>
      </c>
      <c r="W55" s="48">
        <v>0</v>
      </c>
      <c r="X55" s="48">
        <v>0</v>
      </c>
      <c r="Y55" s="49">
        <f t="shared" si="0"/>
        <v>27</v>
      </c>
      <c r="Z55" s="50"/>
      <c r="AA55" s="49"/>
      <c r="AB55" s="52">
        <f t="shared" si="1"/>
        <v>405</v>
      </c>
      <c r="AC55" s="49"/>
      <c r="AD55" s="49"/>
      <c r="AE55" s="53">
        <v>15525</v>
      </c>
      <c r="AF55" s="54">
        <f t="shared" si="2"/>
        <v>776.25</v>
      </c>
      <c r="AG55" s="53">
        <v>0</v>
      </c>
      <c r="AH55" s="53">
        <v>0</v>
      </c>
      <c r="AI55" s="55">
        <f t="shared" si="34"/>
        <v>1293.2325000000001</v>
      </c>
      <c r="AJ55" s="55">
        <f t="shared" si="22"/>
        <v>776.25</v>
      </c>
      <c r="AK55" s="50">
        <f t="shared" si="23"/>
        <v>18370.732499999998</v>
      </c>
      <c r="AL55" s="50">
        <v>1500</v>
      </c>
      <c r="AM55" s="50">
        <v>1950</v>
      </c>
      <c r="AN55" s="50">
        <f t="shared" si="24"/>
        <v>555.01875000000007</v>
      </c>
      <c r="AO55" s="50">
        <v>300</v>
      </c>
      <c r="AP55" s="50">
        <f t="shared" si="25"/>
        <v>1482.3025875000001</v>
      </c>
      <c r="AQ55" s="50">
        <f t="shared" si="26"/>
        <v>24158.053837499996</v>
      </c>
      <c r="AR55" s="69">
        <f t="shared" si="4"/>
        <v>894.74273472222205</v>
      </c>
      <c r="AS55" s="69">
        <f t="shared" si="5"/>
        <v>75.46875</v>
      </c>
      <c r="AT55" s="69">
        <f t="shared" si="6"/>
        <v>83.375988281250002</v>
      </c>
      <c r="AU55" s="57">
        <f t="shared" si="7"/>
        <v>15525</v>
      </c>
      <c r="AV55" s="57">
        <f t="shared" si="8"/>
        <v>776.25</v>
      </c>
      <c r="AW55" s="57">
        <f t="shared" si="9"/>
        <v>0</v>
      </c>
      <c r="AX55" s="50">
        <f t="shared" si="10"/>
        <v>0</v>
      </c>
      <c r="AY55" s="50">
        <f t="shared" si="11"/>
        <v>1293.2325000000001</v>
      </c>
      <c r="AZ55" s="50">
        <f t="shared" si="27"/>
        <v>776.25</v>
      </c>
      <c r="BA55" s="56">
        <f t="shared" si="12"/>
        <v>1500</v>
      </c>
      <c r="BB55" s="57">
        <f t="shared" si="13"/>
        <v>0</v>
      </c>
      <c r="BC55" s="57">
        <f t="shared" si="14"/>
        <v>0</v>
      </c>
      <c r="BD55" s="50">
        <f t="shared" si="28"/>
        <v>19870.732499999998</v>
      </c>
      <c r="BE55" s="57">
        <f t="shared" si="15"/>
        <v>1800</v>
      </c>
      <c r="BF55" s="50">
        <f t="shared" si="29"/>
        <v>123</v>
      </c>
      <c r="BG55" s="58">
        <f t="shared" si="30"/>
        <v>200</v>
      </c>
      <c r="BH55" s="60">
        <f t="shared" si="33"/>
        <v>0</v>
      </c>
      <c r="BI55" s="60">
        <f t="shared" si="33"/>
        <v>0</v>
      </c>
      <c r="BJ55" s="60">
        <f t="shared" si="17"/>
        <v>405</v>
      </c>
      <c r="BK55" s="59">
        <v>25</v>
      </c>
      <c r="BL55" s="60">
        <f t="shared" si="18"/>
        <v>2553</v>
      </c>
      <c r="BM55" s="61">
        <f t="shared" si="19"/>
        <v>17318</v>
      </c>
      <c r="BN55" s="57">
        <f t="shared" si="20"/>
        <v>1950</v>
      </c>
      <c r="BO55" s="55">
        <f t="shared" si="31"/>
        <v>530</v>
      </c>
      <c r="BP55" s="55">
        <v>75</v>
      </c>
      <c r="BQ55" s="55">
        <v>300</v>
      </c>
      <c r="BR55" s="55">
        <f t="shared" si="32"/>
        <v>1486</v>
      </c>
      <c r="BS55" s="50">
        <f t="shared" si="21"/>
        <v>24211.732499999998</v>
      </c>
    </row>
    <row r="56" spans="1:71" ht="15.75" x14ac:dyDescent="0.25">
      <c r="A56" s="31">
        <v>48</v>
      </c>
      <c r="B56" s="67"/>
      <c r="C56" s="33" t="s">
        <v>439</v>
      </c>
      <c r="D56" s="34" t="s">
        <v>440</v>
      </c>
      <c r="E56" s="35" t="s">
        <v>441</v>
      </c>
      <c r="F56" s="35" t="s">
        <v>359</v>
      </c>
      <c r="G56" s="36" t="s">
        <v>442</v>
      </c>
      <c r="H56" s="37" t="s">
        <v>443</v>
      </c>
      <c r="I56" s="38" t="s">
        <v>415</v>
      </c>
      <c r="J56" s="39">
        <v>324390927956</v>
      </c>
      <c r="K56" s="40" t="s">
        <v>96</v>
      </c>
      <c r="L56" s="41">
        <v>34852492681</v>
      </c>
      <c r="M56" s="41" t="s">
        <v>98</v>
      </c>
      <c r="N56" s="42" t="s">
        <v>444</v>
      </c>
      <c r="O56" s="43" t="s">
        <v>445</v>
      </c>
      <c r="P56" s="44">
        <v>9049914878</v>
      </c>
      <c r="Q56" s="68"/>
      <c r="R56" s="35" t="s">
        <v>256</v>
      </c>
      <c r="S56" s="45" t="s">
        <v>88</v>
      </c>
      <c r="T56" s="45" t="s">
        <v>89</v>
      </c>
      <c r="U56" s="46" t="s">
        <v>90</v>
      </c>
      <c r="V56" s="47">
        <v>27</v>
      </c>
      <c r="W56" s="48">
        <v>0</v>
      </c>
      <c r="X56" s="48">
        <v>0</v>
      </c>
      <c r="Y56" s="49">
        <f t="shared" si="0"/>
        <v>27</v>
      </c>
      <c r="Z56" s="50"/>
      <c r="AA56" s="49"/>
      <c r="AB56" s="52">
        <f t="shared" si="1"/>
        <v>405</v>
      </c>
      <c r="AC56" s="49"/>
      <c r="AD56" s="49"/>
      <c r="AE56" s="53">
        <v>15525</v>
      </c>
      <c r="AF56" s="54">
        <f t="shared" si="2"/>
        <v>776.25</v>
      </c>
      <c r="AG56" s="53">
        <v>0</v>
      </c>
      <c r="AH56" s="53">
        <v>0</v>
      </c>
      <c r="AI56" s="55">
        <f t="shared" si="34"/>
        <v>1293.2325000000001</v>
      </c>
      <c r="AJ56" s="55">
        <f t="shared" si="22"/>
        <v>776.25</v>
      </c>
      <c r="AK56" s="50">
        <f t="shared" si="23"/>
        <v>18370.732499999998</v>
      </c>
      <c r="AL56" s="50">
        <v>1500</v>
      </c>
      <c r="AM56" s="50">
        <v>1950</v>
      </c>
      <c r="AN56" s="50">
        <f t="shared" si="24"/>
        <v>555.01875000000007</v>
      </c>
      <c r="AO56" s="50">
        <v>300</v>
      </c>
      <c r="AP56" s="50">
        <f t="shared" si="25"/>
        <v>1482.3025875000001</v>
      </c>
      <c r="AQ56" s="50">
        <f t="shared" si="26"/>
        <v>24158.053837499996</v>
      </c>
      <c r="AR56" s="69">
        <f t="shared" si="4"/>
        <v>894.74273472222205</v>
      </c>
      <c r="AS56" s="69">
        <f t="shared" si="5"/>
        <v>75.46875</v>
      </c>
      <c r="AT56" s="69">
        <f t="shared" si="6"/>
        <v>83.375988281250002</v>
      </c>
      <c r="AU56" s="57">
        <f t="shared" si="7"/>
        <v>15525</v>
      </c>
      <c r="AV56" s="57">
        <f t="shared" si="8"/>
        <v>776.25</v>
      </c>
      <c r="AW56" s="57">
        <f t="shared" si="9"/>
        <v>0</v>
      </c>
      <c r="AX56" s="50">
        <f t="shared" si="10"/>
        <v>0</v>
      </c>
      <c r="AY56" s="50">
        <f t="shared" si="11"/>
        <v>1293.2325000000001</v>
      </c>
      <c r="AZ56" s="50">
        <f t="shared" si="27"/>
        <v>776.25</v>
      </c>
      <c r="BA56" s="56">
        <f t="shared" si="12"/>
        <v>1500</v>
      </c>
      <c r="BB56" s="57">
        <f t="shared" si="13"/>
        <v>0</v>
      </c>
      <c r="BC56" s="57">
        <f t="shared" si="14"/>
        <v>0</v>
      </c>
      <c r="BD56" s="50">
        <f t="shared" si="28"/>
        <v>19870.732499999998</v>
      </c>
      <c r="BE56" s="57">
        <f t="shared" si="15"/>
        <v>1800</v>
      </c>
      <c r="BF56" s="50">
        <f t="shared" si="29"/>
        <v>123</v>
      </c>
      <c r="BG56" s="58">
        <f t="shared" ref="BG56" si="36">IF(BD56&gt;=10000,0,IF(BD56&gt;=7500,0,IF(BD56&lt;=7500,0)))</f>
        <v>0</v>
      </c>
      <c r="BH56" s="60">
        <f t="shared" ref="BH56:BI76" si="37">AC56</f>
        <v>0</v>
      </c>
      <c r="BI56" s="60">
        <f t="shared" si="37"/>
        <v>0</v>
      </c>
      <c r="BJ56" s="60">
        <f t="shared" si="17"/>
        <v>405</v>
      </c>
      <c r="BK56" s="59">
        <v>25</v>
      </c>
      <c r="BL56" s="60">
        <f t="shared" si="18"/>
        <v>2353</v>
      </c>
      <c r="BM56" s="61">
        <f t="shared" si="19"/>
        <v>17518</v>
      </c>
      <c r="BN56" s="57">
        <f t="shared" si="20"/>
        <v>1950</v>
      </c>
      <c r="BO56" s="55">
        <f t="shared" si="31"/>
        <v>530</v>
      </c>
      <c r="BP56" s="55">
        <v>75</v>
      </c>
      <c r="BQ56" s="55">
        <v>300</v>
      </c>
      <c r="BR56" s="55">
        <f t="shared" si="32"/>
        <v>1486</v>
      </c>
      <c r="BS56" s="50">
        <f t="shared" si="21"/>
        <v>24211.732499999998</v>
      </c>
    </row>
    <row r="57" spans="1:71" ht="15.75" x14ac:dyDescent="0.25">
      <c r="A57" s="31">
        <v>49</v>
      </c>
      <c r="B57" s="67"/>
      <c r="C57" s="33" t="s">
        <v>446</v>
      </c>
      <c r="D57" s="34" t="s">
        <v>447</v>
      </c>
      <c r="E57" s="35" t="s">
        <v>448</v>
      </c>
      <c r="F57" s="35" t="s">
        <v>412</v>
      </c>
      <c r="G57" s="36" t="s">
        <v>449</v>
      </c>
      <c r="H57" s="37" t="s">
        <v>450</v>
      </c>
      <c r="I57" s="38" t="s">
        <v>415</v>
      </c>
      <c r="J57" s="39">
        <v>856328283903</v>
      </c>
      <c r="K57" s="40" t="s">
        <v>451</v>
      </c>
      <c r="L57" s="41">
        <v>7683082486</v>
      </c>
      <c r="M57" s="41" t="s">
        <v>452</v>
      </c>
      <c r="N57" s="42" t="s">
        <v>453</v>
      </c>
      <c r="O57" s="43">
        <v>2504799215</v>
      </c>
      <c r="P57" s="44">
        <v>8329216865</v>
      </c>
      <c r="Q57" s="68"/>
      <c r="R57" s="35" t="s">
        <v>87</v>
      </c>
      <c r="S57" s="45" t="s">
        <v>88</v>
      </c>
      <c r="T57" s="45" t="s">
        <v>89</v>
      </c>
      <c r="U57" s="46" t="s">
        <v>90</v>
      </c>
      <c r="V57" s="47">
        <v>27</v>
      </c>
      <c r="W57" s="48">
        <v>0</v>
      </c>
      <c r="X57" s="48">
        <v>0</v>
      </c>
      <c r="Y57" s="49">
        <f t="shared" si="0"/>
        <v>27</v>
      </c>
      <c r="Z57" s="50"/>
      <c r="AA57" s="49"/>
      <c r="AB57" s="52">
        <f t="shared" si="1"/>
        <v>405</v>
      </c>
      <c r="AC57" s="49"/>
      <c r="AD57" s="49"/>
      <c r="AE57" s="53">
        <v>15525</v>
      </c>
      <c r="AF57" s="54">
        <f t="shared" si="2"/>
        <v>776.25</v>
      </c>
      <c r="AG57" s="53">
        <v>0</v>
      </c>
      <c r="AH57" s="53">
        <v>0</v>
      </c>
      <c r="AI57" s="55">
        <f t="shared" si="34"/>
        <v>1293.2325000000001</v>
      </c>
      <c r="AJ57" s="55">
        <f t="shared" si="22"/>
        <v>776.25</v>
      </c>
      <c r="AK57" s="50">
        <f t="shared" si="23"/>
        <v>18370.732499999998</v>
      </c>
      <c r="AL57" s="50">
        <v>1500</v>
      </c>
      <c r="AM57" s="50">
        <v>1950</v>
      </c>
      <c r="AN57" s="50">
        <f t="shared" si="24"/>
        <v>555.01875000000007</v>
      </c>
      <c r="AO57" s="50">
        <v>300</v>
      </c>
      <c r="AP57" s="50">
        <f t="shared" si="25"/>
        <v>1482.3025875000001</v>
      </c>
      <c r="AQ57" s="50">
        <f t="shared" si="26"/>
        <v>24158.053837499996</v>
      </c>
      <c r="AR57" s="69">
        <f t="shared" si="4"/>
        <v>894.74273472222205</v>
      </c>
      <c r="AS57" s="69">
        <f t="shared" si="5"/>
        <v>75.46875</v>
      </c>
      <c r="AT57" s="69">
        <f t="shared" si="6"/>
        <v>83.375988281250002</v>
      </c>
      <c r="AU57" s="57">
        <f t="shared" si="7"/>
        <v>15525</v>
      </c>
      <c r="AV57" s="57">
        <f t="shared" si="8"/>
        <v>776.25</v>
      </c>
      <c r="AW57" s="57">
        <f t="shared" si="9"/>
        <v>0</v>
      </c>
      <c r="AX57" s="50">
        <f t="shared" si="10"/>
        <v>0</v>
      </c>
      <c r="AY57" s="50">
        <f t="shared" si="11"/>
        <v>1293.2325000000001</v>
      </c>
      <c r="AZ57" s="50">
        <f t="shared" si="27"/>
        <v>776.25</v>
      </c>
      <c r="BA57" s="56">
        <f t="shared" si="12"/>
        <v>1500</v>
      </c>
      <c r="BB57" s="57">
        <f t="shared" si="13"/>
        <v>0</v>
      </c>
      <c r="BC57" s="57">
        <f t="shared" si="14"/>
        <v>0</v>
      </c>
      <c r="BD57" s="50">
        <f t="shared" si="28"/>
        <v>19870.732499999998</v>
      </c>
      <c r="BE57" s="57">
        <f t="shared" si="15"/>
        <v>1800</v>
      </c>
      <c r="BF57" s="50">
        <f t="shared" si="29"/>
        <v>123</v>
      </c>
      <c r="BG57" s="58">
        <f t="shared" si="30"/>
        <v>200</v>
      </c>
      <c r="BH57" s="60">
        <f t="shared" si="37"/>
        <v>0</v>
      </c>
      <c r="BI57" s="60">
        <f t="shared" si="37"/>
        <v>0</v>
      </c>
      <c r="BJ57" s="60">
        <f t="shared" si="17"/>
        <v>405</v>
      </c>
      <c r="BK57" s="59">
        <v>25</v>
      </c>
      <c r="BL57" s="60">
        <f t="shared" si="18"/>
        <v>2553</v>
      </c>
      <c r="BM57" s="61">
        <f t="shared" si="19"/>
        <v>17318</v>
      </c>
      <c r="BN57" s="57">
        <f t="shared" si="20"/>
        <v>1950</v>
      </c>
      <c r="BO57" s="55">
        <f t="shared" si="31"/>
        <v>530</v>
      </c>
      <c r="BP57" s="55">
        <v>75</v>
      </c>
      <c r="BQ57" s="55">
        <v>300</v>
      </c>
      <c r="BR57" s="55">
        <f t="shared" si="32"/>
        <v>1486</v>
      </c>
      <c r="BS57" s="50">
        <f t="shared" si="21"/>
        <v>24211.732499999998</v>
      </c>
    </row>
    <row r="58" spans="1:71" ht="15.75" x14ac:dyDescent="0.25">
      <c r="A58" s="31">
        <v>50</v>
      </c>
      <c r="B58" s="67"/>
      <c r="C58" s="33" t="s">
        <v>454</v>
      </c>
      <c r="D58" s="34" t="s">
        <v>455</v>
      </c>
      <c r="E58" s="35" t="s">
        <v>456</v>
      </c>
      <c r="F58" s="35" t="s">
        <v>412</v>
      </c>
      <c r="G58" s="36" t="s">
        <v>457</v>
      </c>
      <c r="H58" s="37" t="s">
        <v>458</v>
      </c>
      <c r="I58" s="38" t="s">
        <v>415</v>
      </c>
      <c r="J58" s="39">
        <v>538169311168</v>
      </c>
      <c r="K58" s="40" t="s">
        <v>107</v>
      </c>
      <c r="L58" s="41">
        <v>3665291424</v>
      </c>
      <c r="M58" s="41" t="s">
        <v>124</v>
      </c>
      <c r="N58" s="42" t="s">
        <v>459</v>
      </c>
      <c r="O58" s="43">
        <v>2504943477</v>
      </c>
      <c r="P58" s="44">
        <v>7709510571</v>
      </c>
      <c r="Q58" s="72"/>
      <c r="R58" s="35" t="s">
        <v>110</v>
      </c>
      <c r="S58" s="45" t="s">
        <v>88</v>
      </c>
      <c r="T58" s="45" t="s">
        <v>89</v>
      </c>
      <c r="U58" s="46" t="s">
        <v>90</v>
      </c>
      <c r="V58" s="47">
        <v>19.5</v>
      </c>
      <c r="W58" s="48">
        <v>0</v>
      </c>
      <c r="X58" s="48">
        <v>0</v>
      </c>
      <c r="Y58" s="49">
        <f t="shared" si="0"/>
        <v>19.5</v>
      </c>
      <c r="Z58" s="50"/>
      <c r="AA58" s="49"/>
      <c r="AB58" s="52">
        <f t="shared" si="1"/>
        <v>292.5</v>
      </c>
      <c r="AC58" s="49"/>
      <c r="AD58" s="49"/>
      <c r="AE58" s="53">
        <v>15525</v>
      </c>
      <c r="AF58" s="54">
        <f t="shared" si="2"/>
        <v>776.25</v>
      </c>
      <c r="AG58" s="53">
        <v>0</v>
      </c>
      <c r="AH58" s="53">
        <v>0</v>
      </c>
      <c r="AI58" s="55">
        <f t="shared" si="34"/>
        <v>1293.2325000000001</v>
      </c>
      <c r="AJ58" s="55">
        <f t="shared" si="22"/>
        <v>776.25</v>
      </c>
      <c r="AK58" s="50">
        <f t="shared" si="23"/>
        <v>18370.732499999998</v>
      </c>
      <c r="AL58" s="50">
        <v>1500</v>
      </c>
      <c r="AM58" s="50">
        <v>1950</v>
      </c>
      <c r="AN58" s="50">
        <f t="shared" si="24"/>
        <v>555.01875000000007</v>
      </c>
      <c r="AO58" s="50">
        <v>300</v>
      </c>
      <c r="AP58" s="50">
        <f t="shared" si="25"/>
        <v>1482.3025875000001</v>
      </c>
      <c r="AQ58" s="50">
        <f t="shared" si="26"/>
        <v>24158.053837499996</v>
      </c>
      <c r="AR58" s="69">
        <f t="shared" si="4"/>
        <v>894.74273472222205</v>
      </c>
      <c r="AS58" s="69">
        <f t="shared" si="5"/>
        <v>75.46875</v>
      </c>
      <c r="AT58" s="69">
        <f t="shared" si="6"/>
        <v>83.375988281250002</v>
      </c>
      <c r="AU58" s="57">
        <f t="shared" si="7"/>
        <v>11212.5</v>
      </c>
      <c r="AV58" s="57">
        <f t="shared" si="8"/>
        <v>560.625</v>
      </c>
      <c r="AW58" s="57">
        <f t="shared" si="9"/>
        <v>0</v>
      </c>
      <c r="AX58" s="50">
        <f t="shared" si="10"/>
        <v>0</v>
      </c>
      <c r="AY58" s="50">
        <f t="shared" si="11"/>
        <v>934.00125000000003</v>
      </c>
      <c r="AZ58" s="50">
        <f t="shared" si="27"/>
        <v>560.625</v>
      </c>
      <c r="BA58" s="56">
        <f t="shared" si="12"/>
        <v>1083</v>
      </c>
      <c r="BB58" s="57">
        <f t="shared" si="13"/>
        <v>0</v>
      </c>
      <c r="BC58" s="57">
        <f t="shared" si="14"/>
        <v>0</v>
      </c>
      <c r="BD58" s="50">
        <f t="shared" si="28"/>
        <v>14350.751249999999</v>
      </c>
      <c r="BE58" s="57">
        <f t="shared" si="15"/>
        <v>1300</v>
      </c>
      <c r="BF58" s="50">
        <f t="shared" si="29"/>
        <v>89</v>
      </c>
      <c r="BG58" s="58">
        <f t="shared" si="30"/>
        <v>200</v>
      </c>
      <c r="BH58" s="60">
        <f t="shared" si="37"/>
        <v>0</v>
      </c>
      <c r="BI58" s="60">
        <f t="shared" si="37"/>
        <v>0</v>
      </c>
      <c r="BJ58" s="60">
        <f t="shared" si="17"/>
        <v>292.5</v>
      </c>
      <c r="BK58" s="59">
        <v>25</v>
      </c>
      <c r="BL58" s="60">
        <f t="shared" si="18"/>
        <v>1906.5</v>
      </c>
      <c r="BM58" s="61">
        <f t="shared" si="19"/>
        <v>12444</v>
      </c>
      <c r="BN58" s="57">
        <f t="shared" si="20"/>
        <v>1408</v>
      </c>
      <c r="BO58" s="55">
        <f t="shared" si="31"/>
        <v>383</v>
      </c>
      <c r="BP58" s="55">
        <v>75</v>
      </c>
      <c r="BQ58" s="55">
        <v>300</v>
      </c>
      <c r="BR58" s="55">
        <f t="shared" si="32"/>
        <v>1080</v>
      </c>
      <c r="BS58" s="50">
        <f t="shared" si="21"/>
        <v>17596.751250000001</v>
      </c>
    </row>
    <row r="59" spans="1:71" ht="15.75" x14ac:dyDescent="0.25">
      <c r="A59" s="31">
        <v>51</v>
      </c>
      <c r="B59" s="67"/>
      <c r="C59" s="33" t="s">
        <v>460</v>
      </c>
      <c r="D59" s="34" t="s">
        <v>461</v>
      </c>
      <c r="E59" s="35" t="s">
        <v>462</v>
      </c>
      <c r="F59" s="35" t="s">
        <v>412</v>
      </c>
      <c r="G59" s="36" t="s">
        <v>463</v>
      </c>
      <c r="H59" s="37" t="s">
        <v>464</v>
      </c>
      <c r="I59" s="38" t="s">
        <v>415</v>
      </c>
      <c r="J59" s="39">
        <v>493010808132</v>
      </c>
      <c r="K59" s="40" t="s">
        <v>96</v>
      </c>
      <c r="L59" s="41">
        <v>33401507465</v>
      </c>
      <c r="M59" s="41" t="s">
        <v>98</v>
      </c>
      <c r="N59" s="42" t="s">
        <v>465</v>
      </c>
      <c r="O59" s="43" t="s">
        <v>466</v>
      </c>
      <c r="P59" s="44">
        <v>7741907949</v>
      </c>
      <c r="Q59" s="68"/>
      <c r="R59" s="35" t="s">
        <v>327</v>
      </c>
      <c r="S59" s="45" t="s">
        <v>88</v>
      </c>
      <c r="T59" s="45" t="s">
        <v>89</v>
      </c>
      <c r="U59" s="46" t="s">
        <v>90</v>
      </c>
      <c r="V59" s="47">
        <v>27</v>
      </c>
      <c r="W59" s="48">
        <v>0</v>
      </c>
      <c r="X59" s="48">
        <v>0</v>
      </c>
      <c r="Y59" s="49">
        <f t="shared" si="0"/>
        <v>27</v>
      </c>
      <c r="Z59" s="50"/>
      <c r="AA59" s="49"/>
      <c r="AB59" s="52">
        <f t="shared" si="1"/>
        <v>405</v>
      </c>
      <c r="AC59" s="49"/>
      <c r="AD59" s="49"/>
      <c r="AE59" s="53">
        <v>15525</v>
      </c>
      <c r="AF59" s="54">
        <f t="shared" si="2"/>
        <v>776.25</v>
      </c>
      <c r="AG59" s="53">
        <v>0</v>
      </c>
      <c r="AH59" s="53">
        <v>0</v>
      </c>
      <c r="AI59" s="55">
        <f t="shared" si="34"/>
        <v>1293.2325000000001</v>
      </c>
      <c r="AJ59" s="55">
        <f t="shared" si="22"/>
        <v>776.25</v>
      </c>
      <c r="AK59" s="50">
        <f t="shared" si="23"/>
        <v>18370.732499999998</v>
      </c>
      <c r="AL59" s="50">
        <v>1500</v>
      </c>
      <c r="AM59" s="50">
        <v>1950</v>
      </c>
      <c r="AN59" s="50">
        <f t="shared" si="24"/>
        <v>555.01875000000007</v>
      </c>
      <c r="AO59" s="50">
        <v>300</v>
      </c>
      <c r="AP59" s="50">
        <f t="shared" si="25"/>
        <v>1482.3025875000001</v>
      </c>
      <c r="AQ59" s="50">
        <f t="shared" si="26"/>
        <v>24158.053837499996</v>
      </c>
      <c r="AR59" s="69">
        <f t="shared" si="4"/>
        <v>894.74273472222205</v>
      </c>
      <c r="AS59" s="69">
        <f t="shared" si="5"/>
        <v>75.46875</v>
      </c>
      <c r="AT59" s="69">
        <f t="shared" si="6"/>
        <v>83.375988281250002</v>
      </c>
      <c r="AU59" s="57">
        <f t="shared" si="7"/>
        <v>15525</v>
      </c>
      <c r="AV59" s="57">
        <f t="shared" si="8"/>
        <v>776.25</v>
      </c>
      <c r="AW59" s="57">
        <f t="shared" si="9"/>
        <v>0</v>
      </c>
      <c r="AX59" s="50">
        <f t="shared" si="10"/>
        <v>0</v>
      </c>
      <c r="AY59" s="50">
        <f t="shared" si="11"/>
        <v>1293.2325000000001</v>
      </c>
      <c r="AZ59" s="50">
        <f t="shared" si="27"/>
        <v>776.25</v>
      </c>
      <c r="BA59" s="56">
        <f t="shared" si="12"/>
        <v>1500</v>
      </c>
      <c r="BB59" s="57">
        <f t="shared" si="13"/>
        <v>0</v>
      </c>
      <c r="BC59" s="57">
        <f t="shared" si="14"/>
        <v>0</v>
      </c>
      <c r="BD59" s="50">
        <f t="shared" si="28"/>
        <v>19870.732499999998</v>
      </c>
      <c r="BE59" s="57">
        <f t="shared" si="15"/>
        <v>1800</v>
      </c>
      <c r="BF59" s="50">
        <f t="shared" si="29"/>
        <v>123</v>
      </c>
      <c r="BG59" s="58">
        <f t="shared" si="30"/>
        <v>200</v>
      </c>
      <c r="BH59" s="60">
        <f t="shared" si="37"/>
        <v>0</v>
      </c>
      <c r="BI59" s="60">
        <f t="shared" si="37"/>
        <v>0</v>
      </c>
      <c r="BJ59" s="60">
        <f t="shared" si="17"/>
        <v>405</v>
      </c>
      <c r="BK59" s="59">
        <v>25</v>
      </c>
      <c r="BL59" s="60">
        <f t="shared" si="18"/>
        <v>2553</v>
      </c>
      <c r="BM59" s="61">
        <f t="shared" si="19"/>
        <v>17318</v>
      </c>
      <c r="BN59" s="57">
        <f t="shared" si="20"/>
        <v>1950</v>
      </c>
      <c r="BO59" s="55">
        <f t="shared" si="31"/>
        <v>530</v>
      </c>
      <c r="BP59" s="55">
        <v>75</v>
      </c>
      <c r="BQ59" s="55">
        <v>300</v>
      </c>
      <c r="BR59" s="55">
        <f t="shared" si="32"/>
        <v>1486</v>
      </c>
      <c r="BS59" s="50">
        <f t="shared" si="21"/>
        <v>24211.732499999998</v>
      </c>
    </row>
    <row r="60" spans="1:71" ht="15.75" x14ac:dyDescent="0.25">
      <c r="A60" s="31">
        <v>52</v>
      </c>
      <c r="B60" s="67"/>
      <c r="C60" s="33" t="s">
        <v>467</v>
      </c>
      <c r="D60" s="34" t="s">
        <v>468</v>
      </c>
      <c r="E60" s="35" t="s">
        <v>469</v>
      </c>
      <c r="F60" s="35" t="s">
        <v>412</v>
      </c>
      <c r="G60" s="36" t="s">
        <v>470</v>
      </c>
      <c r="H60" s="37" t="s">
        <v>471</v>
      </c>
      <c r="I60" s="38" t="s">
        <v>472</v>
      </c>
      <c r="J60" s="39">
        <v>652690575068</v>
      </c>
      <c r="K60" s="40" t="s">
        <v>82</v>
      </c>
      <c r="L60" s="41">
        <v>80017129769</v>
      </c>
      <c r="M60" s="41" t="s">
        <v>84</v>
      </c>
      <c r="N60" s="42" t="s">
        <v>473</v>
      </c>
      <c r="O60" s="43" t="s">
        <v>474</v>
      </c>
      <c r="P60" s="44">
        <v>9325730104</v>
      </c>
      <c r="Q60" s="68"/>
      <c r="R60" s="35" t="s">
        <v>475</v>
      </c>
      <c r="S60" s="45" t="s">
        <v>88</v>
      </c>
      <c r="T60" s="45" t="s">
        <v>89</v>
      </c>
      <c r="U60" s="46" t="s">
        <v>90</v>
      </c>
      <c r="V60" s="47">
        <v>27</v>
      </c>
      <c r="W60" s="48">
        <v>0</v>
      </c>
      <c r="X60" s="48">
        <v>0</v>
      </c>
      <c r="Y60" s="49">
        <f t="shared" si="0"/>
        <v>27</v>
      </c>
      <c r="Z60" s="50"/>
      <c r="AA60" s="49"/>
      <c r="AB60" s="52">
        <f t="shared" si="1"/>
        <v>405</v>
      </c>
      <c r="AC60" s="49"/>
      <c r="AD60" s="49"/>
      <c r="AE60" s="53">
        <v>15525</v>
      </c>
      <c r="AF60" s="54">
        <f t="shared" si="2"/>
        <v>776.25</v>
      </c>
      <c r="AG60" s="53">
        <v>0</v>
      </c>
      <c r="AH60" s="53">
        <v>0</v>
      </c>
      <c r="AI60" s="55">
        <f t="shared" si="34"/>
        <v>1293.2325000000001</v>
      </c>
      <c r="AJ60" s="55">
        <f t="shared" si="22"/>
        <v>776.25</v>
      </c>
      <c r="AK60" s="50">
        <f t="shared" si="23"/>
        <v>18370.732499999998</v>
      </c>
      <c r="AL60" s="50">
        <v>1500</v>
      </c>
      <c r="AM60" s="50">
        <v>1950</v>
      </c>
      <c r="AN60" s="50">
        <f t="shared" si="24"/>
        <v>555.01875000000007</v>
      </c>
      <c r="AO60" s="50">
        <v>300</v>
      </c>
      <c r="AP60" s="50">
        <f t="shared" si="25"/>
        <v>1482.3025875000001</v>
      </c>
      <c r="AQ60" s="50">
        <f t="shared" si="26"/>
        <v>24158.053837499996</v>
      </c>
      <c r="AR60" s="69">
        <f t="shared" si="4"/>
        <v>894.74273472222205</v>
      </c>
      <c r="AS60" s="69">
        <f t="shared" si="5"/>
        <v>75.46875</v>
      </c>
      <c r="AT60" s="69">
        <f t="shared" si="6"/>
        <v>83.375988281250002</v>
      </c>
      <c r="AU60" s="57">
        <f t="shared" si="7"/>
        <v>15525</v>
      </c>
      <c r="AV60" s="57">
        <f t="shared" si="8"/>
        <v>776.25</v>
      </c>
      <c r="AW60" s="57">
        <f t="shared" si="9"/>
        <v>0</v>
      </c>
      <c r="AX60" s="50">
        <f t="shared" si="10"/>
        <v>0</v>
      </c>
      <c r="AY60" s="50">
        <f t="shared" si="11"/>
        <v>1293.2325000000001</v>
      </c>
      <c r="AZ60" s="50">
        <f t="shared" si="27"/>
        <v>776.25</v>
      </c>
      <c r="BA60" s="56">
        <f t="shared" si="12"/>
        <v>1500</v>
      </c>
      <c r="BB60" s="57">
        <f t="shared" si="13"/>
        <v>0</v>
      </c>
      <c r="BC60" s="57">
        <f t="shared" si="14"/>
        <v>0</v>
      </c>
      <c r="BD60" s="50">
        <f t="shared" si="28"/>
        <v>19870.732499999998</v>
      </c>
      <c r="BE60" s="57">
        <f t="shared" si="15"/>
        <v>1800</v>
      </c>
      <c r="BF60" s="50">
        <f t="shared" si="29"/>
        <v>123</v>
      </c>
      <c r="BG60" s="58">
        <f t="shared" si="30"/>
        <v>200</v>
      </c>
      <c r="BH60" s="60">
        <f t="shared" si="37"/>
        <v>0</v>
      </c>
      <c r="BI60" s="60">
        <f t="shared" si="37"/>
        <v>0</v>
      </c>
      <c r="BJ60" s="60">
        <f t="shared" si="17"/>
        <v>405</v>
      </c>
      <c r="BK60" s="59">
        <v>25</v>
      </c>
      <c r="BL60" s="60">
        <f t="shared" si="18"/>
        <v>2553</v>
      </c>
      <c r="BM60" s="61">
        <f t="shared" si="19"/>
        <v>17318</v>
      </c>
      <c r="BN60" s="57">
        <f t="shared" si="20"/>
        <v>1950</v>
      </c>
      <c r="BO60" s="55">
        <f t="shared" si="31"/>
        <v>530</v>
      </c>
      <c r="BP60" s="55">
        <v>75</v>
      </c>
      <c r="BQ60" s="55">
        <v>300</v>
      </c>
      <c r="BR60" s="55">
        <f t="shared" si="32"/>
        <v>1486</v>
      </c>
      <c r="BS60" s="50">
        <f t="shared" si="21"/>
        <v>24211.732499999998</v>
      </c>
    </row>
    <row r="61" spans="1:71" ht="15.75" x14ac:dyDescent="0.25">
      <c r="A61" s="31">
        <v>53</v>
      </c>
      <c r="B61" s="67"/>
      <c r="C61" s="33" t="s">
        <v>476</v>
      </c>
      <c r="D61" s="34" t="s">
        <v>477</v>
      </c>
      <c r="E61" s="35" t="s">
        <v>478</v>
      </c>
      <c r="F61" s="35" t="s">
        <v>78</v>
      </c>
      <c r="G61" s="36" t="s">
        <v>479</v>
      </c>
      <c r="H61" s="37" t="s">
        <v>480</v>
      </c>
      <c r="I61" s="38"/>
      <c r="J61" s="39">
        <v>521438299972</v>
      </c>
      <c r="K61" s="40" t="s">
        <v>107</v>
      </c>
      <c r="L61" s="41">
        <v>5280356573</v>
      </c>
      <c r="M61" s="35" t="s">
        <v>124</v>
      </c>
      <c r="N61" s="42" t="s">
        <v>481</v>
      </c>
      <c r="O61" s="43" t="s">
        <v>482</v>
      </c>
      <c r="P61" s="44">
        <v>9322405059</v>
      </c>
      <c r="Q61" s="68"/>
      <c r="R61" s="35"/>
      <c r="S61" s="45" t="s">
        <v>88</v>
      </c>
      <c r="T61" s="45" t="s">
        <v>89</v>
      </c>
      <c r="U61" s="46" t="s">
        <v>90</v>
      </c>
      <c r="V61" s="47">
        <v>23</v>
      </c>
      <c r="W61" s="48">
        <v>0</v>
      </c>
      <c r="X61" s="48">
        <v>0</v>
      </c>
      <c r="Y61" s="49">
        <f t="shared" si="0"/>
        <v>23</v>
      </c>
      <c r="Z61" s="50"/>
      <c r="AA61" s="49"/>
      <c r="AB61" s="52">
        <f t="shared" si="1"/>
        <v>345</v>
      </c>
      <c r="AC61" s="49"/>
      <c r="AD61" s="49"/>
      <c r="AE61" s="53">
        <v>15525</v>
      </c>
      <c r="AF61" s="54">
        <f t="shared" si="2"/>
        <v>776.25</v>
      </c>
      <c r="AG61" s="53">
        <v>0</v>
      </c>
      <c r="AH61" s="53">
        <v>0</v>
      </c>
      <c r="AI61" s="55">
        <f t="shared" si="34"/>
        <v>1293.2325000000001</v>
      </c>
      <c r="AJ61" s="55">
        <f t="shared" si="22"/>
        <v>776.25</v>
      </c>
      <c r="AK61" s="50">
        <f t="shared" si="23"/>
        <v>18370.732499999998</v>
      </c>
      <c r="AL61" s="50">
        <v>1500</v>
      </c>
      <c r="AM61" s="50">
        <v>1950</v>
      </c>
      <c r="AN61" s="50">
        <f t="shared" si="24"/>
        <v>555.01875000000007</v>
      </c>
      <c r="AO61" s="50">
        <v>300</v>
      </c>
      <c r="AP61" s="50">
        <f t="shared" si="25"/>
        <v>1482.3025875000001</v>
      </c>
      <c r="AQ61" s="50">
        <f t="shared" si="26"/>
        <v>24158.053837499996</v>
      </c>
      <c r="AR61" s="69">
        <f t="shared" si="4"/>
        <v>894.74273472222205</v>
      </c>
      <c r="AS61" s="69">
        <f t="shared" si="5"/>
        <v>75.46875</v>
      </c>
      <c r="AT61" s="69">
        <f t="shared" si="6"/>
        <v>83.375988281250002</v>
      </c>
      <c r="AU61" s="57">
        <f t="shared" si="7"/>
        <v>13225</v>
      </c>
      <c r="AV61" s="57">
        <f t="shared" si="8"/>
        <v>661.25</v>
      </c>
      <c r="AW61" s="57">
        <f t="shared" si="9"/>
        <v>0</v>
      </c>
      <c r="AX61" s="50">
        <f t="shared" si="10"/>
        <v>0</v>
      </c>
      <c r="AY61" s="50">
        <f t="shared" si="11"/>
        <v>1101.6424999999999</v>
      </c>
      <c r="AZ61" s="50">
        <f t="shared" si="27"/>
        <v>661.25</v>
      </c>
      <c r="BA61" s="56">
        <f t="shared" si="12"/>
        <v>1278</v>
      </c>
      <c r="BB61" s="57">
        <f t="shared" si="13"/>
        <v>0</v>
      </c>
      <c r="BC61" s="57">
        <f t="shared" si="14"/>
        <v>0</v>
      </c>
      <c r="BD61" s="50">
        <f t="shared" si="28"/>
        <v>16927.142500000002</v>
      </c>
      <c r="BE61" s="57">
        <f t="shared" si="15"/>
        <v>1533</v>
      </c>
      <c r="BF61" s="50">
        <f t="shared" si="29"/>
        <v>105</v>
      </c>
      <c r="BG61" s="58">
        <f t="shared" si="30"/>
        <v>200</v>
      </c>
      <c r="BH61" s="60">
        <f t="shared" si="37"/>
        <v>0</v>
      </c>
      <c r="BI61" s="60">
        <f t="shared" si="37"/>
        <v>0</v>
      </c>
      <c r="BJ61" s="60">
        <f t="shared" si="17"/>
        <v>345</v>
      </c>
      <c r="BK61" s="59">
        <v>25</v>
      </c>
      <c r="BL61" s="60">
        <f t="shared" si="18"/>
        <v>2208</v>
      </c>
      <c r="BM61" s="61">
        <f t="shared" si="19"/>
        <v>14719</v>
      </c>
      <c r="BN61" s="57">
        <f t="shared" si="20"/>
        <v>1661</v>
      </c>
      <c r="BO61" s="55">
        <f t="shared" si="31"/>
        <v>451</v>
      </c>
      <c r="BP61" s="55">
        <v>75</v>
      </c>
      <c r="BQ61" s="55">
        <v>300</v>
      </c>
      <c r="BR61" s="55">
        <f t="shared" si="32"/>
        <v>1270</v>
      </c>
      <c r="BS61" s="50">
        <f t="shared" si="21"/>
        <v>20684.142500000002</v>
      </c>
    </row>
    <row r="62" spans="1:71" ht="15.75" x14ac:dyDescent="0.25">
      <c r="A62" s="31">
        <v>54</v>
      </c>
      <c r="B62" s="67"/>
      <c r="C62" s="33" t="s">
        <v>483</v>
      </c>
      <c r="D62" s="34" t="s">
        <v>484</v>
      </c>
      <c r="E62" s="35" t="s">
        <v>485</v>
      </c>
      <c r="F62" s="35" t="s">
        <v>412</v>
      </c>
      <c r="G62" s="36" t="s">
        <v>479</v>
      </c>
      <c r="H62" s="37" t="s">
        <v>480</v>
      </c>
      <c r="I62" s="38" t="s">
        <v>472</v>
      </c>
      <c r="J62" s="39">
        <v>521438299972</v>
      </c>
      <c r="K62" s="40" t="s">
        <v>107</v>
      </c>
      <c r="L62" s="41">
        <v>5280356573</v>
      </c>
      <c r="M62" s="41" t="s">
        <v>124</v>
      </c>
      <c r="N62" s="42" t="s">
        <v>481</v>
      </c>
      <c r="O62" s="43" t="s">
        <v>482</v>
      </c>
      <c r="P62" s="44">
        <v>9322405059</v>
      </c>
      <c r="Q62" s="68"/>
      <c r="R62" s="35" t="s">
        <v>486</v>
      </c>
      <c r="S62" s="45" t="s">
        <v>88</v>
      </c>
      <c r="T62" s="45" t="s">
        <v>89</v>
      </c>
      <c r="U62" s="46" t="s">
        <v>90</v>
      </c>
      <c r="V62" s="47">
        <v>24</v>
      </c>
      <c r="W62" s="48">
        <v>0</v>
      </c>
      <c r="X62" s="48">
        <v>0</v>
      </c>
      <c r="Y62" s="49">
        <f t="shared" si="0"/>
        <v>24</v>
      </c>
      <c r="Z62" s="50"/>
      <c r="AA62" s="49"/>
      <c r="AB62" s="52">
        <f t="shared" si="1"/>
        <v>360</v>
      </c>
      <c r="AC62" s="49"/>
      <c r="AD62" s="49"/>
      <c r="AE62" s="53">
        <v>15525</v>
      </c>
      <c r="AF62" s="54">
        <f t="shared" si="2"/>
        <v>776.25</v>
      </c>
      <c r="AG62" s="53">
        <v>0</v>
      </c>
      <c r="AH62" s="53">
        <v>0</v>
      </c>
      <c r="AI62" s="55">
        <f t="shared" si="34"/>
        <v>1293.2325000000001</v>
      </c>
      <c r="AJ62" s="55">
        <f t="shared" si="22"/>
        <v>776.25</v>
      </c>
      <c r="AK62" s="50">
        <f t="shared" si="23"/>
        <v>18370.732499999998</v>
      </c>
      <c r="AL62" s="50">
        <v>1500</v>
      </c>
      <c r="AM62" s="50">
        <v>1950</v>
      </c>
      <c r="AN62" s="50">
        <f t="shared" si="24"/>
        <v>555.01875000000007</v>
      </c>
      <c r="AO62" s="50">
        <v>300</v>
      </c>
      <c r="AP62" s="50">
        <f t="shared" si="25"/>
        <v>1482.3025875000001</v>
      </c>
      <c r="AQ62" s="50">
        <f t="shared" si="26"/>
        <v>24158.053837499996</v>
      </c>
      <c r="AR62" s="69">
        <f t="shared" si="4"/>
        <v>894.74273472222205</v>
      </c>
      <c r="AS62" s="69">
        <f t="shared" si="5"/>
        <v>75.46875</v>
      </c>
      <c r="AT62" s="69">
        <f t="shared" si="6"/>
        <v>83.375988281250002</v>
      </c>
      <c r="AU62" s="57">
        <f t="shared" si="7"/>
        <v>13800</v>
      </c>
      <c r="AV62" s="57">
        <f t="shared" si="8"/>
        <v>690</v>
      </c>
      <c r="AW62" s="57">
        <f t="shared" si="9"/>
        <v>0</v>
      </c>
      <c r="AX62" s="50">
        <f t="shared" si="10"/>
        <v>0</v>
      </c>
      <c r="AY62" s="50">
        <f t="shared" si="11"/>
        <v>1149.54</v>
      </c>
      <c r="AZ62" s="50">
        <f t="shared" si="27"/>
        <v>690</v>
      </c>
      <c r="BA62" s="56">
        <f t="shared" si="12"/>
        <v>1333</v>
      </c>
      <c r="BB62" s="57">
        <f t="shared" si="13"/>
        <v>0</v>
      </c>
      <c r="BC62" s="57">
        <f t="shared" si="14"/>
        <v>0</v>
      </c>
      <c r="BD62" s="50">
        <f t="shared" si="28"/>
        <v>17662.54</v>
      </c>
      <c r="BE62" s="57">
        <f t="shared" si="15"/>
        <v>1600</v>
      </c>
      <c r="BF62" s="50">
        <f t="shared" si="29"/>
        <v>109</v>
      </c>
      <c r="BG62" s="58">
        <f t="shared" si="30"/>
        <v>200</v>
      </c>
      <c r="BH62" s="60">
        <f t="shared" si="37"/>
        <v>0</v>
      </c>
      <c r="BI62" s="60">
        <f t="shared" si="37"/>
        <v>0</v>
      </c>
      <c r="BJ62" s="60">
        <f t="shared" si="17"/>
        <v>360</v>
      </c>
      <c r="BK62" s="59">
        <v>25</v>
      </c>
      <c r="BL62" s="60">
        <f t="shared" si="18"/>
        <v>2294</v>
      </c>
      <c r="BM62" s="61">
        <f t="shared" si="19"/>
        <v>15369</v>
      </c>
      <c r="BN62" s="57">
        <f t="shared" si="20"/>
        <v>1733</v>
      </c>
      <c r="BO62" s="55">
        <f t="shared" si="31"/>
        <v>471</v>
      </c>
      <c r="BP62" s="55">
        <v>75</v>
      </c>
      <c r="BQ62" s="55">
        <v>300</v>
      </c>
      <c r="BR62" s="55">
        <f t="shared" si="32"/>
        <v>1324</v>
      </c>
      <c r="BS62" s="50">
        <f t="shared" si="21"/>
        <v>21565.54</v>
      </c>
    </row>
    <row r="63" spans="1:71" s="62" customFormat="1" ht="15.75" x14ac:dyDescent="0.25">
      <c r="A63" s="31">
        <v>55</v>
      </c>
      <c r="B63" s="32"/>
      <c r="C63" s="33" t="s">
        <v>487</v>
      </c>
      <c r="D63" s="34" t="s">
        <v>488</v>
      </c>
      <c r="E63" s="35" t="s">
        <v>489</v>
      </c>
      <c r="F63" s="35" t="s">
        <v>412</v>
      </c>
      <c r="G63" s="36" t="s">
        <v>490</v>
      </c>
      <c r="H63" s="37" t="s">
        <v>491</v>
      </c>
      <c r="I63" s="38" t="s">
        <v>472</v>
      </c>
      <c r="J63" s="39">
        <v>754122362144</v>
      </c>
      <c r="K63" s="40" t="s">
        <v>492</v>
      </c>
      <c r="L63" s="41">
        <v>5658101001972</v>
      </c>
      <c r="M63" s="41" t="s">
        <v>493</v>
      </c>
      <c r="N63" s="42" t="s">
        <v>494</v>
      </c>
      <c r="O63" s="43">
        <v>2504887996</v>
      </c>
      <c r="P63" s="44">
        <v>8830013569</v>
      </c>
      <c r="Q63" s="40"/>
      <c r="R63" s="35" t="s">
        <v>495</v>
      </c>
      <c r="S63" s="45" t="s">
        <v>88</v>
      </c>
      <c r="T63" s="45" t="s">
        <v>89</v>
      </c>
      <c r="U63" s="46" t="s">
        <v>90</v>
      </c>
      <c r="V63" s="47">
        <v>24.5</v>
      </c>
      <c r="W63" s="48">
        <v>0</v>
      </c>
      <c r="X63" s="48">
        <v>0</v>
      </c>
      <c r="Y63" s="49">
        <f t="shared" si="0"/>
        <v>24.5</v>
      </c>
      <c r="Z63" s="50"/>
      <c r="AA63" s="51"/>
      <c r="AB63" s="52">
        <f t="shared" si="1"/>
        <v>367.5</v>
      </c>
      <c r="AC63" s="51"/>
      <c r="AD63" s="51"/>
      <c r="AE63" s="53">
        <v>15525</v>
      </c>
      <c r="AF63" s="54">
        <f t="shared" si="2"/>
        <v>776.25</v>
      </c>
      <c r="AG63" s="53">
        <v>0</v>
      </c>
      <c r="AH63" s="53">
        <v>0</v>
      </c>
      <c r="AI63" s="55">
        <f t="shared" si="34"/>
        <v>1293.2325000000001</v>
      </c>
      <c r="AJ63" s="55">
        <f t="shared" si="22"/>
        <v>776.25</v>
      </c>
      <c r="AK63" s="50">
        <f t="shared" si="23"/>
        <v>18370.732499999998</v>
      </c>
      <c r="AL63" s="50">
        <v>1500</v>
      </c>
      <c r="AM63" s="50">
        <v>1950</v>
      </c>
      <c r="AN63" s="50">
        <f t="shared" si="24"/>
        <v>555.01875000000007</v>
      </c>
      <c r="AO63" s="50">
        <v>300</v>
      </c>
      <c r="AP63" s="50">
        <f t="shared" si="25"/>
        <v>1482.3025875000001</v>
      </c>
      <c r="AQ63" s="50">
        <f t="shared" si="26"/>
        <v>24158.053837499996</v>
      </c>
      <c r="AR63" s="52">
        <f t="shared" si="4"/>
        <v>894.74273472222205</v>
      </c>
      <c r="AS63" s="52">
        <f t="shared" si="5"/>
        <v>75.46875</v>
      </c>
      <c r="AT63" s="52">
        <f t="shared" si="6"/>
        <v>83.375988281250002</v>
      </c>
      <c r="AU63" s="50">
        <f t="shared" si="7"/>
        <v>14087.5</v>
      </c>
      <c r="AV63" s="50">
        <f t="shared" si="8"/>
        <v>704.375</v>
      </c>
      <c r="AW63" s="50">
        <f t="shared" si="9"/>
        <v>0</v>
      </c>
      <c r="AX63" s="50">
        <f t="shared" si="10"/>
        <v>0</v>
      </c>
      <c r="AY63" s="50">
        <f t="shared" si="11"/>
        <v>1173.48875</v>
      </c>
      <c r="AZ63" s="50">
        <f t="shared" si="27"/>
        <v>704.375</v>
      </c>
      <c r="BA63" s="56">
        <f t="shared" si="12"/>
        <v>1361</v>
      </c>
      <c r="BB63" s="50">
        <f t="shared" si="13"/>
        <v>0</v>
      </c>
      <c r="BC63" s="50">
        <f t="shared" si="14"/>
        <v>0</v>
      </c>
      <c r="BD63" s="50">
        <f t="shared" si="28"/>
        <v>18030.73875</v>
      </c>
      <c r="BE63" s="57">
        <f t="shared" si="15"/>
        <v>1633</v>
      </c>
      <c r="BF63" s="50">
        <f t="shared" si="29"/>
        <v>111</v>
      </c>
      <c r="BG63" s="58">
        <f t="shared" si="30"/>
        <v>200</v>
      </c>
      <c r="BH63" s="55">
        <f t="shared" si="37"/>
        <v>0</v>
      </c>
      <c r="BI63" s="55">
        <f t="shared" si="37"/>
        <v>0</v>
      </c>
      <c r="BJ63" s="55">
        <f t="shared" si="17"/>
        <v>367.5</v>
      </c>
      <c r="BK63" s="59">
        <v>25</v>
      </c>
      <c r="BL63" s="55">
        <f t="shared" si="18"/>
        <v>2336.5</v>
      </c>
      <c r="BM63" s="61">
        <f t="shared" si="19"/>
        <v>15694</v>
      </c>
      <c r="BN63" s="57">
        <f t="shared" si="20"/>
        <v>1769</v>
      </c>
      <c r="BO63" s="55">
        <f t="shared" si="31"/>
        <v>481</v>
      </c>
      <c r="BP63" s="55">
        <v>75</v>
      </c>
      <c r="BQ63" s="55">
        <v>300</v>
      </c>
      <c r="BR63" s="55">
        <f t="shared" si="32"/>
        <v>1351</v>
      </c>
      <c r="BS63" s="50">
        <f t="shared" si="21"/>
        <v>22006.73875</v>
      </c>
    </row>
    <row r="64" spans="1:71" s="62" customFormat="1" ht="15.75" x14ac:dyDescent="0.25">
      <c r="A64" s="31">
        <v>56</v>
      </c>
      <c r="B64" s="32"/>
      <c r="C64" s="33" t="s">
        <v>496</v>
      </c>
      <c r="D64" s="34" t="s">
        <v>497</v>
      </c>
      <c r="E64" s="35" t="s">
        <v>498</v>
      </c>
      <c r="F64" s="35" t="s">
        <v>412</v>
      </c>
      <c r="G64" s="36" t="s">
        <v>479</v>
      </c>
      <c r="H64" s="37" t="s">
        <v>499</v>
      </c>
      <c r="I64" s="38" t="s">
        <v>472</v>
      </c>
      <c r="J64" s="39">
        <v>673150275155</v>
      </c>
      <c r="K64" s="40" t="s">
        <v>96</v>
      </c>
      <c r="L64" s="41">
        <v>42442199612</v>
      </c>
      <c r="M64" s="41" t="s">
        <v>98</v>
      </c>
      <c r="N64" s="42" t="s">
        <v>500</v>
      </c>
      <c r="O64" s="43">
        <v>2504888002</v>
      </c>
      <c r="P64" s="44">
        <v>8767745394</v>
      </c>
      <c r="Q64" s="40"/>
      <c r="R64" s="35" t="s">
        <v>87</v>
      </c>
      <c r="S64" s="45" t="s">
        <v>88</v>
      </c>
      <c r="T64" s="45" t="s">
        <v>89</v>
      </c>
      <c r="U64" s="46" t="s">
        <v>90</v>
      </c>
      <c r="V64" s="47">
        <v>23</v>
      </c>
      <c r="W64" s="48">
        <v>0</v>
      </c>
      <c r="X64" s="48">
        <v>0</v>
      </c>
      <c r="Y64" s="49">
        <f t="shared" si="0"/>
        <v>23</v>
      </c>
      <c r="Z64" s="50"/>
      <c r="AA64" s="51"/>
      <c r="AB64" s="52">
        <f t="shared" si="1"/>
        <v>345</v>
      </c>
      <c r="AC64" s="51"/>
      <c r="AD64" s="51"/>
      <c r="AE64" s="53">
        <v>15525</v>
      </c>
      <c r="AF64" s="54">
        <f t="shared" si="2"/>
        <v>776.25</v>
      </c>
      <c r="AG64" s="53">
        <v>0</v>
      </c>
      <c r="AH64" s="53">
        <v>0</v>
      </c>
      <c r="AI64" s="55">
        <f t="shared" si="34"/>
        <v>1293.2325000000001</v>
      </c>
      <c r="AJ64" s="55">
        <f t="shared" si="22"/>
        <v>776.25</v>
      </c>
      <c r="AK64" s="50">
        <f t="shared" si="23"/>
        <v>18370.732499999998</v>
      </c>
      <c r="AL64" s="50">
        <v>1500</v>
      </c>
      <c r="AM64" s="50">
        <v>1950</v>
      </c>
      <c r="AN64" s="50">
        <f t="shared" si="24"/>
        <v>555.01875000000007</v>
      </c>
      <c r="AO64" s="50">
        <v>300</v>
      </c>
      <c r="AP64" s="50">
        <f t="shared" si="25"/>
        <v>1482.3025875000001</v>
      </c>
      <c r="AQ64" s="50">
        <f t="shared" si="26"/>
        <v>24158.053837499996</v>
      </c>
      <c r="AR64" s="52">
        <f t="shared" si="4"/>
        <v>894.74273472222205</v>
      </c>
      <c r="AS64" s="52">
        <f t="shared" si="5"/>
        <v>75.46875</v>
      </c>
      <c r="AT64" s="52">
        <f t="shared" si="6"/>
        <v>83.375988281250002</v>
      </c>
      <c r="AU64" s="50">
        <f t="shared" si="7"/>
        <v>13225</v>
      </c>
      <c r="AV64" s="50">
        <f t="shared" si="8"/>
        <v>661.25</v>
      </c>
      <c r="AW64" s="50">
        <f t="shared" si="9"/>
        <v>0</v>
      </c>
      <c r="AX64" s="50">
        <f t="shared" si="10"/>
        <v>0</v>
      </c>
      <c r="AY64" s="50">
        <f t="shared" si="11"/>
        <v>1101.6424999999999</v>
      </c>
      <c r="AZ64" s="50">
        <f t="shared" si="27"/>
        <v>661.25</v>
      </c>
      <c r="BA64" s="56">
        <f t="shared" si="12"/>
        <v>1278</v>
      </c>
      <c r="BB64" s="50">
        <f t="shared" si="13"/>
        <v>0</v>
      </c>
      <c r="BC64" s="50">
        <f t="shared" si="14"/>
        <v>0</v>
      </c>
      <c r="BD64" s="50">
        <f t="shared" si="28"/>
        <v>16927.142500000002</v>
      </c>
      <c r="BE64" s="57">
        <f t="shared" si="15"/>
        <v>1533</v>
      </c>
      <c r="BF64" s="50">
        <f t="shared" si="29"/>
        <v>105</v>
      </c>
      <c r="BG64" s="58">
        <f t="shared" si="30"/>
        <v>200</v>
      </c>
      <c r="BH64" s="55">
        <f t="shared" si="37"/>
        <v>0</v>
      </c>
      <c r="BI64" s="55">
        <f t="shared" si="37"/>
        <v>0</v>
      </c>
      <c r="BJ64" s="55">
        <f t="shared" si="17"/>
        <v>345</v>
      </c>
      <c r="BK64" s="59">
        <v>25</v>
      </c>
      <c r="BL64" s="55">
        <f t="shared" si="18"/>
        <v>2208</v>
      </c>
      <c r="BM64" s="61">
        <f t="shared" si="19"/>
        <v>14719</v>
      </c>
      <c r="BN64" s="57">
        <f t="shared" si="20"/>
        <v>1661</v>
      </c>
      <c r="BO64" s="55">
        <f t="shared" si="31"/>
        <v>451</v>
      </c>
      <c r="BP64" s="55">
        <v>75</v>
      </c>
      <c r="BQ64" s="55">
        <v>300</v>
      </c>
      <c r="BR64" s="55">
        <f t="shared" si="32"/>
        <v>1270</v>
      </c>
      <c r="BS64" s="50">
        <f t="shared" si="21"/>
        <v>20684.142500000002</v>
      </c>
    </row>
    <row r="65" spans="1:71" s="62" customFormat="1" ht="15.75" x14ac:dyDescent="0.25">
      <c r="A65" s="31">
        <v>57</v>
      </c>
      <c r="B65" s="32"/>
      <c r="C65" s="33" t="s">
        <v>501</v>
      </c>
      <c r="D65" s="34" t="s">
        <v>502</v>
      </c>
      <c r="E65" s="35" t="s">
        <v>503</v>
      </c>
      <c r="F65" s="35" t="s">
        <v>412</v>
      </c>
      <c r="G65" s="36" t="s">
        <v>504</v>
      </c>
      <c r="H65" s="37" t="s">
        <v>505</v>
      </c>
      <c r="I65" s="38" t="s">
        <v>472</v>
      </c>
      <c r="J65" s="39">
        <v>276538171757</v>
      </c>
      <c r="K65" s="40" t="s">
        <v>96</v>
      </c>
      <c r="L65" s="41">
        <v>31051428049</v>
      </c>
      <c r="M65" s="41" t="s">
        <v>316</v>
      </c>
      <c r="N65" s="42" t="s">
        <v>506</v>
      </c>
      <c r="O65" s="43">
        <v>2504888180</v>
      </c>
      <c r="P65" s="44">
        <v>7588318917</v>
      </c>
      <c r="Q65" s="40"/>
      <c r="R65" s="35" t="s">
        <v>507</v>
      </c>
      <c r="S65" s="45" t="s">
        <v>88</v>
      </c>
      <c r="T65" s="45" t="s">
        <v>89</v>
      </c>
      <c r="U65" s="46" t="s">
        <v>90</v>
      </c>
      <c r="V65" s="47">
        <v>27</v>
      </c>
      <c r="W65" s="48">
        <v>0</v>
      </c>
      <c r="X65" s="48">
        <v>0</v>
      </c>
      <c r="Y65" s="49">
        <f t="shared" si="0"/>
        <v>27</v>
      </c>
      <c r="Z65" s="50"/>
      <c r="AA65" s="51"/>
      <c r="AB65" s="52">
        <f t="shared" si="1"/>
        <v>405</v>
      </c>
      <c r="AC65" s="51"/>
      <c r="AD65" s="51"/>
      <c r="AE65" s="53">
        <v>15525</v>
      </c>
      <c r="AF65" s="54">
        <f t="shared" si="2"/>
        <v>776.25</v>
      </c>
      <c r="AG65" s="53">
        <v>0</v>
      </c>
      <c r="AH65" s="53">
        <v>0</v>
      </c>
      <c r="AI65" s="55">
        <f t="shared" si="34"/>
        <v>1293.2325000000001</v>
      </c>
      <c r="AJ65" s="55">
        <f t="shared" si="22"/>
        <v>776.25</v>
      </c>
      <c r="AK65" s="50">
        <f t="shared" si="23"/>
        <v>18370.732499999998</v>
      </c>
      <c r="AL65" s="50">
        <v>1500</v>
      </c>
      <c r="AM65" s="50">
        <v>1950</v>
      </c>
      <c r="AN65" s="50">
        <f t="shared" si="24"/>
        <v>555.01875000000007</v>
      </c>
      <c r="AO65" s="50">
        <v>300</v>
      </c>
      <c r="AP65" s="50">
        <f t="shared" si="25"/>
        <v>1482.3025875000001</v>
      </c>
      <c r="AQ65" s="50">
        <f t="shared" si="26"/>
        <v>24158.053837499996</v>
      </c>
      <c r="AR65" s="52">
        <f t="shared" si="4"/>
        <v>894.74273472222205</v>
      </c>
      <c r="AS65" s="52">
        <f t="shared" si="5"/>
        <v>75.46875</v>
      </c>
      <c r="AT65" s="52">
        <f t="shared" si="6"/>
        <v>83.375988281250002</v>
      </c>
      <c r="AU65" s="50">
        <f t="shared" si="7"/>
        <v>15525</v>
      </c>
      <c r="AV65" s="50">
        <f t="shared" si="8"/>
        <v>776.25</v>
      </c>
      <c r="AW65" s="50">
        <f t="shared" si="9"/>
        <v>0</v>
      </c>
      <c r="AX65" s="50">
        <f t="shared" si="10"/>
        <v>0</v>
      </c>
      <c r="AY65" s="50">
        <f t="shared" si="11"/>
        <v>1293.2325000000001</v>
      </c>
      <c r="AZ65" s="50">
        <f t="shared" si="27"/>
        <v>776.25</v>
      </c>
      <c r="BA65" s="56">
        <f t="shared" si="12"/>
        <v>1500</v>
      </c>
      <c r="BB65" s="50">
        <f t="shared" si="13"/>
        <v>0</v>
      </c>
      <c r="BC65" s="50">
        <f t="shared" si="14"/>
        <v>0</v>
      </c>
      <c r="BD65" s="50">
        <f t="shared" si="28"/>
        <v>19870.732499999998</v>
      </c>
      <c r="BE65" s="57">
        <f t="shared" si="15"/>
        <v>1800</v>
      </c>
      <c r="BF65" s="50">
        <f t="shared" si="29"/>
        <v>123</v>
      </c>
      <c r="BG65" s="58">
        <f t="shared" si="30"/>
        <v>200</v>
      </c>
      <c r="BH65" s="55">
        <f t="shared" si="37"/>
        <v>0</v>
      </c>
      <c r="BI65" s="55">
        <f t="shared" si="37"/>
        <v>0</v>
      </c>
      <c r="BJ65" s="55">
        <f t="shared" si="17"/>
        <v>405</v>
      </c>
      <c r="BK65" s="59">
        <v>25</v>
      </c>
      <c r="BL65" s="55">
        <f t="shared" si="18"/>
        <v>2553</v>
      </c>
      <c r="BM65" s="61">
        <f t="shared" si="19"/>
        <v>17318</v>
      </c>
      <c r="BN65" s="57">
        <f t="shared" si="20"/>
        <v>1950</v>
      </c>
      <c r="BO65" s="55">
        <f t="shared" si="31"/>
        <v>530</v>
      </c>
      <c r="BP65" s="55">
        <v>75</v>
      </c>
      <c r="BQ65" s="55">
        <v>300</v>
      </c>
      <c r="BR65" s="55">
        <f t="shared" si="32"/>
        <v>1486</v>
      </c>
      <c r="BS65" s="50">
        <f t="shared" si="21"/>
        <v>24211.732499999998</v>
      </c>
    </row>
    <row r="66" spans="1:71" s="62" customFormat="1" ht="15.75" x14ac:dyDescent="0.25">
      <c r="A66" s="31">
        <v>58</v>
      </c>
      <c r="B66" s="73"/>
      <c r="C66" s="33" t="s">
        <v>508</v>
      </c>
      <c r="D66" s="34" t="s">
        <v>509</v>
      </c>
      <c r="E66" s="35" t="s">
        <v>510</v>
      </c>
      <c r="F66" s="35" t="s">
        <v>78</v>
      </c>
      <c r="G66" s="36" t="s">
        <v>511</v>
      </c>
      <c r="H66" s="37" t="s">
        <v>512</v>
      </c>
      <c r="I66" s="38" t="s">
        <v>513</v>
      </c>
      <c r="J66" s="39" t="s">
        <v>514</v>
      </c>
      <c r="K66" s="40" t="s">
        <v>96</v>
      </c>
      <c r="L66" s="41" t="s">
        <v>515</v>
      </c>
      <c r="M66" s="35" t="s">
        <v>316</v>
      </c>
      <c r="N66" s="42" t="s">
        <v>516</v>
      </c>
      <c r="O66" s="43">
        <v>2504888613</v>
      </c>
      <c r="P66" s="44">
        <v>7350862025</v>
      </c>
      <c r="Q66" s="40"/>
      <c r="R66" s="35" t="s">
        <v>319</v>
      </c>
      <c r="S66" s="45" t="s">
        <v>88</v>
      </c>
      <c r="T66" s="45" t="s">
        <v>89</v>
      </c>
      <c r="U66" s="46" t="s">
        <v>90</v>
      </c>
      <c r="V66" s="47">
        <v>27</v>
      </c>
      <c r="W66" s="48">
        <v>0</v>
      </c>
      <c r="X66" s="48">
        <v>0</v>
      </c>
      <c r="Y66" s="49">
        <f t="shared" si="0"/>
        <v>27</v>
      </c>
      <c r="Z66" s="50"/>
      <c r="AA66" s="51"/>
      <c r="AB66" s="52">
        <f t="shared" si="1"/>
        <v>405</v>
      </c>
      <c r="AC66" s="51"/>
      <c r="AD66" s="51"/>
      <c r="AE66" s="53">
        <v>15525</v>
      </c>
      <c r="AF66" s="54">
        <f t="shared" si="2"/>
        <v>776.25</v>
      </c>
      <c r="AG66" s="53">
        <v>0</v>
      </c>
      <c r="AH66" s="53">
        <v>0</v>
      </c>
      <c r="AI66" s="55">
        <f t="shared" si="34"/>
        <v>1293.2325000000001</v>
      </c>
      <c r="AJ66" s="55">
        <f t="shared" si="22"/>
        <v>776.25</v>
      </c>
      <c r="AK66" s="50">
        <f t="shared" si="23"/>
        <v>18370.732499999998</v>
      </c>
      <c r="AL66" s="50">
        <v>1500</v>
      </c>
      <c r="AM66" s="50">
        <v>1950</v>
      </c>
      <c r="AN66" s="50">
        <f t="shared" si="24"/>
        <v>555.01875000000007</v>
      </c>
      <c r="AO66" s="50">
        <v>300</v>
      </c>
      <c r="AP66" s="50">
        <f t="shared" si="25"/>
        <v>1482.3025875000001</v>
      </c>
      <c r="AQ66" s="50">
        <f t="shared" si="26"/>
        <v>24158.053837499996</v>
      </c>
      <c r="AR66" s="52">
        <f t="shared" si="4"/>
        <v>894.74273472222205</v>
      </c>
      <c r="AS66" s="52">
        <f t="shared" si="5"/>
        <v>75.46875</v>
      </c>
      <c r="AT66" s="52">
        <f t="shared" si="6"/>
        <v>83.375988281250002</v>
      </c>
      <c r="AU66" s="50">
        <f t="shared" si="7"/>
        <v>15525</v>
      </c>
      <c r="AV66" s="50">
        <f t="shared" si="8"/>
        <v>776.25</v>
      </c>
      <c r="AW66" s="50">
        <f t="shared" si="9"/>
        <v>0</v>
      </c>
      <c r="AX66" s="50">
        <f t="shared" si="10"/>
        <v>0</v>
      </c>
      <c r="AY66" s="50">
        <f t="shared" si="11"/>
        <v>1293.2325000000001</v>
      </c>
      <c r="AZ66" s="50">
        <f t="shared" si="27"/>
        <v>776.25</v>
      </c>
      <c r="BA66" s="56">
        <f t="shared" si="12"/>
        <v>1500</v>
      </c>
      <c r="BB66" s="50">
        <f t="shared" si="13"/>
        <v>0</v>
      </c>
      <c r="BC66" s="50">
        <f t="shared" si="14"/>
        <v>0</v>
      </c>
      <c r="BD66" s="50">
        <f t="shared" si="28"/>
        <v>19870.732499999998</v>
      </c>
      <c r="BE66" s="57">
        <f t="shared" si="15"/>
        <v>1800</v>
      </c>
      <c r="BF66" s="50">
        <f t="shared" si="29"/>
        <v>123</v>
      </c>
      <c r="BG66" s="58">
        <f t="shared" si="30"/>
        <v>200</v>
      </c>
      <c r="BH66" s="55">
        <f t="shared" si="37"/>
        <v>0</v>
      </c>
      <c r="BI66" s="55">
        <f t="shared" si="37"/>
        <v>0</v>
      </c>
      <c r="BJ66" s="55">
        <f t="shared" si="17"/>
        <v>405</v>
      </c>
      <c r="BK66" s="59">
        <v>25</v>
      </c>
      <c r="BL66" s="55">
        <f t="shared" si="18"/>
        <v>2553</v>
      </c>
      <c r="BM66" s="61">
        <f t="shared" si="19"/>
        <v>17318</v>
      </c>
      <c r="BN66" s="57">
        <f t="shared" si="20"/>
        <v>1950</v>
      </c>
      <c r="BO66" s="55">
        <f t="shared" si="31"/>
        <v>530</v>
      </c>
      <c r="BP66" s="55">
        <v>75</v>
      </c>
      <c r="BQ66" s="55">
        <v>300</v>
      </c>
      <c r="BR66" s="55">
        <f t="shared" si="32"/>
        <v>1486</v>
      </c>
      <c r="BS66" s="50">
        <f t="shared" si="21"/>
        <v>24211.732499999998</v>
      </c>
    </row>
    <row r="67" spans="1:71" s="62" customFormat="1" ht="15.75" x14ac:dyDescent="0.25">
      <c r="A67" s="31">
        <v>59</v>
      </c>
      <c r="B67" s="32"/>
      <c r="C67" s="33" t="s">
        <v>517</v>
      </c>
      <c r="D67" s="34" t="s">
        <v>518</v>
      </c>
      <c r="E67" s="35" t="s">
        <v>519</v>
      </c>
      <c r="F67" s="35" t="s">
        <v>78</v>
      </c>
      <c r="G67" s="36" t="s">
        <v>520</v>
      </c>
      <c r="H67" s="37" t="s">
        <v>521</v>
      </c>
      <c r="I67" s="38" t="s">
        <v>522</v>
      </c>
      <c r="J67" s="39" t="s">
        <v>523</v>
      </c>
      <c r="K67" s="40" t="s">
        <v>96</v>
      </c>
      <c r="L67" s="41" t="s">
        <v>524</v>
      </c>
      <c r="M67" s="35" t="s">
        <v>98</v>
      </c>
      <c r="N67" s="42" t="s">
        <v>525</v>
      </c>
      <c r="O67" s="43">
        <v>2504892543</v>
      </c>
      <c r="P67" s="44">
        <v>7517469829</v>
      </c>
      <c r="Q67" s="40"/>
      <c r="R67" s="35" t="s">
        <v>87</v>
      </c>
      <c r="S67" s="45" t="s">
        <v>88</v>
      </c>
      <c r="T67" s="45" t="s">
        <v>89</v>
      </c>
      <c r="U67" s="46" t="s">
        <v>90</v>
      </c>
      <c r="V67" s="47">
        <v>27</v>
      </c>
      <c r="W67" s="48">
        <v>0</v>
      </c>
      <c r="X67" s="48">
        <v>0</v>
      </c>
      <c r="Y67" s="49">
        <f t="shared" si="0"/>
        <v>27</v>
      </c>
      <c r="Z67" s="50"/>
      <c r="AA67" s="51"/>
      <c r="AB67" s="52">
        <f t="shared" si="1"/>
        <v>405</v>
      </c>
      <c r="AC67" s="51"/>
      <c r="AD67" s="51"/>
      <c r="AE67" s="53">
        <v>15525</v>
      </c>
      <c r="AF67" s="54">
        <f t="shared" si="2"/>
        <v>776.25</v>
      </c>
      <c r="AG67" s="53">
        <v>0</v>
      </c>
      <c r="AH67" s="53">
        <v>0</v>
      </c>
      <c r="AI67" s="55">
        <f t="shared" si="34"/>
        <v>1293.2325000000001</v>
      </c>
      <c r="AJ67" s="55">
        <f t="shared" si="22"/>
        <v>776.25</v>
      </c>
      <c r="AK67" s="50">
        <f t="shared" si="23"/>
        <v>18370.732499999998</v>
      </c>
      <c r="AL67" s="50">
        <v>1500</v>
      </c>
      <c r="AM67" s="50">
        <v>1950</v>
      </c>
      <c r="AN67" s="50">
        <f t="shared" si="24"/>
        <v>555.01875000000007</v>
      </c>
      <c r="AO67" s="50">
        <v>300</v>
      </c>
      <c r="AP67" s="50">
        <f t="shared" si="25"/>
        <v>1482.3025875000001</v>
      </c>
      <c r="AQ67" s="50">
        <f t="shared" si="26"/>
        <v>24158.053837499996</v>
      </c>
      <c r="AR67" s="52">
        <f t="shared" si="4"/>
        <v>894.74273472222205</v>
      </c>
      <c r="AS67" s="52">
        <f t="shared" si="5"/>
        <v>75.46875</v>
      </c>
      <c r="AT67" s="52">
        <f t="shared" si="6"/>
        <v>83.375988281250002</v>
      </c>
      <c r="AU67" s="50">
        <f t="shared" si="7"/>
        <v>15525</v>
      </c>
      <c r="AV67" s="50">
        <f t="shared" si="8"/>
        <v>776.25</v>
      </c>
      <c r="AW67" s="50">
        <f t="shared" si="9"/>
        <v>0</v>
      </c>
      <c r="AX67" s="50">
        <f t="shared" si="10"/>
        <v>0</v>
      </c>
      <c r="AY67" s="50">
        <f t="shared" si="11"/>
        <v>1293.2325000000001</v>
      </c>
      <c r="AZ67" s="50">
        <f t="shared" si="27"/>
        <v>776.25</v>
      </c>
      <c r="BA67" s="56">
        <f t="shared" si="12"/>
        <v>1500</v>
      </c>
      <c r="BB67" s="50">
        <f t="shared" si="13"/>
        <v>0</v>
      </c>
      <c r="BC67" s="50">
        <f t="shared" si="14"/>
        <v>0</v>
      </c>
      <c r="BD67" s="50">
        <f t="shared" si="28"/>
        <v>19870.732499999998</v>
      </c>
      <c r="BE67" s="57">
        <f t="shared" si="15"/>
        <v>1800</v>
      </c>
      <c r="BF67" s="50">
        <f t="shared" si="29"/>
        <v>123</v>
      </c>
      <c r="BG67" s="58">
        <f t="shared" si="30"/>
        <v>200</v>
      </c>
      <c r="BH67" s="55">
        <f t="shared" si="37"/>
        <v>0</v>
      </c>
      <c r="BI67" s="55">
        <f t="shared" si="37"/>
        <v>0</v>
      </c>
      <c r="BJ67" s="55">
        <f t="shared" si="17"/>
        <v>405</v>
      </c>
      <c r="BK67" s="59">
        <v>25</v>
      </c>
      <c r="BL67" s="55">
        <f t="shared" si="18"/>
        <v>2553</v>
      </c>
      <c r="BM67" s="61">
        <f t="shared" si="19"/>
        <v>17318</v>
      </c>
      <c r="BN67" s="57">
        <f t="shared" si="20"/>
        <v>1950</v>
      </c>
      <c r="BO67" s="55">
        <f t="shared" si="31"/>
        <v>530</v>
      </c>
      <c r="BP67" s="55">
        <v>75</v>
      </c>
      <c r="BQ67" s="55">
        <v>300</v>
      </c>
      <c r="BR67" s="55">
        <f t="shared" si="32"/>
        <v>1486</v>
      </c>
      <c r="BS67" s="50">
        <f t="shared" si="21"/>
        <v>24211.732499999998</v>
      </c>
    </row>
    <row r="68" spans="1:71" s="62" customFormat="1" ht="15.75" x14ac:dyDescent="0.25">
      <c r="A68" s="31">
        <v>60</v>
      </c>
      <c r="B68" s="32"/>
      <c r="C68" s="33" t="s">
        <v>526</v>
      </c>
      <c r="D68" s="34" t="s">
        <v>527</v>
      </c>
      <c r="E68" s="35" t="s">
        <v>528</v>
      </c>
      <c r="F68" s="35" t="s">
        <v>78</v>
      </c>
      <c r="G68" s="36" t="s">
        <v>529</v>
      </c>
      <c r="H68" s="37" t="s">
        <v>530</v>
      </c>
      <c r="I68" s="38" t="s">
        <v>513</v>
      </c>
      <c r="J68" s="39" t="s">
        <v>531</v>
      </c>
      <c r="K68" s="40" t="s">
        <v>82</v>
      </c>
      <c r="L68" s="41" t="s">
        <v>532</v>
      </c>
      <c r="M68" s="35" t="s">
        <v>84</v>
      </c>
      <c r="N68" s="42" t="s">
        <v>533</v>
      </c>
      <c r="O68" s="43">
        <v>2504888590</v>
      </c>
      <c r="P68" s="44">
        <v>9511227220</v>
      </c>
      <c r="Q68" s="40"/>
      <c r="R68" s="35" t="s">
        <v>319</v>
      </c>
      <c r="S68" s="45" t="s">
        <v>88</v>
      </c>
      <c r="T68" s="45" t="s">
        <v>89</v>
      </c>
      <c r="U68" s="46" t="s">
        <v>90</v>
      </c>
      <c r="V68" s="47">
        <v>26</v>
      </c>
      <c r="W68" s="48">
        <v>0</v>
      </c>
      <c r="X68" s="48">
        <v>0</v>
      </c>
      <c r="Y68" s="49">
        <f t="shared" si="0"/>
        <v>26</v>
      </c>
      <c r="Z68" s="50"/>
      <c r="AA68" s="51"/>
      <c r="AB68" s="52">
        <f t="shared" si="1"/>
        <v>390</v>
      </c>
      <c r="AC68" s="51"/>
      <c r="AD68" s="51"/>
      <c r="AE68" s="53">
        <v>15525</v>
      </c>
      <c r="AF68" s="54">
        <f t="shared" si="2"/>
        <v>776.25</v>
      </c>
      <c r="AG68" s="53">
        <v>0</v>
      </c>
      <c r="AH68" s="53">
        <v>0</v>
      </c>
      <c r="AI68" s="55">
        <f t="shared" si="34"/>
        <v>1293.2325000000001</v>
      </c>
      <c r="AJ68" s="55">
        <f t="shared" si="22"/>
        <v>776.25</v>
      </c>
      <c r="AK68" s="50">
        <f t="shared" si="23"/>
        <v>18370.732499999998</v>
      </c>
      <c r="AL68" s="50">
        <v>1500</v>
      </c>
      <c r="AM68" s="50">
        <v>1950</v>
      </c>
      <c r="AN68" s="50">
        <f t="shared" si="24"/>
        <v>555.01875000000007</v>
      </c>
      <c r="AO68" s="50">
        <v>300</v>
      </c>
      <c r="AP68" s="50">
        <f t="shared" si="25"/>
        <v>1482.3025875000001</v>
      </c>
      <c r="AQ68" s="50">
        <f t="shared" si="26"/>
        <v>24158.053837499996</v>
      </c>
      <c r="AR68" s="52">
        <f t="shared" si="4"/>
        <v>894.74273472222205</v>
      </c>
      <c r="AS68" s="52">
        <f t="shared" si="5"/>
        <v>75.46875</v>
      </c>
      <c r="AT68" s="52">
        <f t="shared" si="6"/>
        <v>83.375988281250002</v>
      </c>
      <c r="AU68" s="50">
        <f t="shared" si="7"/>
        <v>14950</v>
      </c>
      <c r="AV68" s="50">
        <f t="shared" si="8"/>
        <v>747.5</v>
      </c>
      <c r="AW68" s="50">
        <f t="shared" si="9"/>
        <v>0</v>
      </c>
      <c r="AX68" s="50">
        <f t="shared" si="10"/>
        <v>0</v>
      </c>
      <c r="AY68" s="50">
        <f t="shared" si="11"/>
        <v>1245.335</v>
      </c>
      <c r="AZ68" s="50">
        <f t="shared" si="27"/>
        <v>747.5</v>
      </c>
      <c r="BA68" s="56">
        <f t="shared" si="12"/>
        <v>1444</v>
      </c>
      <c r="BB68" s="50">
        <f t="shared" si="13"/>
        <v>0</v>
      </c>
      <c r="BC68" s="50">
        <f t="shared" si="14"/>
        <v>0</v>
      </c>
      <c r="BD68" s="50">
        <f t="shared" si="28"/>
        <v>19134.334999999999</v>
      </c>
      <c r="BE68" s="57">
        <f t="shared" si="15"/>
        <v>1733</v>
      </c>
      <c r="BF68" s="50">
        <f t="shared" si="29"/>
        <v>118</v>
      </c>
      <c r="BG68" s="58">
        <f t="shared" si="30"/>
        <v>200</v>
      </c>
      <c r="BH68" s="55">
        <f t="shared" si="37"/>
        <v>0</v>
      </c>
      <c r="BI68" s="55">
        <f t="shared" si="37"/>
        <v>0</v>
      </c>
      <c r="BJ68" s="55">
        <f t="shared" si="17"/>
        <v>390</v>
      </c>
      <c r="BK68" s="59">
        <v>25</v>
      </c>
      <c r="BL68" s="55">
        <f t="shared" si="18"/>
        <v>2466</v>
      </c>
      <c r="BM68" s="61">
        <f t="shared" si="19"/>
        <v>16668</v>
      </c>
      <c r="BN68" s="57">
        <f t="shared" si="20"/>
        <v>1878</v>
      </c>
      <c r="BO68" s="55">
        <f t="shared" si="31"/>
        <v>510</v>
      </c>
      <c r="BP68" s="55">
        <v>75</v>
      </c>
      <c r="BQ68" s="55">
        <v>300</v>
      </c>
      <c r="BR68" s="55">
        <f t="shared" si="32"/>
        <v>1432</v>
      </c>
      <c r="BS68" s="50">
        <f t="shared" si="21"/>
        <v>23329.334999999999</v>
      </c>
    </row>
    <row r="69" spans="1:71" s="62" customFormat="1" ht="15.75" x14ac:dyDescent="0.25">
      <c r="A69" s="31">
        <v>61</v>
      </c>
      <c r="B69" s="32"/>
      <c r="C69" s="33" t="s">
        <v>534</v>
      </c>
      <c r="D69" s="34" t="s">
        <v>535</v>
      </c>
      <c r="E69" s="35" t="s">
        <v>536</v>
      </c>
      <c r="F69" s="35" t="s">
        <v>78</v>
      </c>
      <c r="G69" s="36" t="s">
        <v>537</v>
      </c>
      <c r="H69" s="37" t="s">
        <v>538</v>
      </c>
      <c r="I69" s="38">
        <v>45614</v>
      </c>
      <c r="J69" s="39" t="s">
        <v>539</v>
      </c>
      <c r="K69" s="40" t="s">
        <v>107</v>
      </c>
      <c r="L69" s="41" t="s">
        <v>540</v>
      </c>
      <c r="M69" s="35" t="s">
        <v>108</v>
      </c>
      <c r="N69" s="42" t="s">
        <v>541</v>
      </c>
      <c r="O69" s="43">
        <v>2504888480</v>
      </c>
      <c r="P69" s="44">
        <v>9022176155</v>
      </c>
      <c r="Q69" s="40"/>
      <c r="R69" s="35" t="s">
        <v>495</v>
      </c>
      <c r="S69" s="45" t="s">
        <v>88</v>
      </c>
      <c r="T69" s="45" t="s">
        <v>89</v>
      </c>
      <c r="U69" s="46" t="s">
        <v>90</v>
      </c>
      <c r="V69" s="47">
        <v>27</v>
      </c>
      <c r="W69" s="48">
        <v>0</v>
      </c>
      <c r="X69" s="48">
        <v>0</v>
      </c>
      <c r="Y69" s="49">
        <f t="shared" si="0"/>
        <v>27</v>
      </c>
      <c r="Z69" s="50"/>
      <c r="AA69" s="51"/>
      <c r="AB69" s="52">
        <f t="shared" si="1"/>
        <v>405</v>
      </c>
      <c r="AC69" s="51"/>
      <c r="AD69" s="51"/>
      <c r="AE69" s="53">
        <v>15525</v>
      </c>
      <c r="AF69" s="54">
        <f t="shared" si="2"/>
        <v>776.25</v>
      </c>
      <c r="AG69" s="53">
        <v>0</v>
      </c>
      <c r="AH69" s="53">
        <v>0</v>
      </c>
      <c r="AI69" s="55">
        <f t="shared" si="34"/>
        <v>1293.2325000000001</v>
      </c>
      <c r="AJ69" s="55">
        <f t="shared" si="22"/>
        <v>776.25</v>
      </c>
      <c r="AK69" s="50">
        <f t="shared" si="23"/>
        <v>18370.732499999998</v>
      </c>
      <c r="AL69" s="50">
        <v>1500</v>
      </c>
      <c r="AM69" s="50">
        <v>1950</v>
      </c>
      <c r="AN69" s="50">
        <f t="shared" si="24"/>
        <v>555.01875000000007</v>
      </c>
      <c r="AO69" s="50">
        <v>300</v>
      </c>
      <c r="AP69" s="50">
        <f t="shared" si="25"/>
        <v>1482.3025875000001</v>
      </c>
      <c r="AQ69" s="50">
        <f t="shared" si="26"/>
        <v>24158.053837499996</v>
      </c>
      <c r="AR69" s="52">
        <f t="shared" si="4"/>
        <v>894.74273472222205</v>
      </c>
      <c r="AS69" s="52">
        <f t="shared" si="5"/>
        <v>75.46875</v>
      </c>
      <c r="AT69" s="52">
        <f t="shared" si="6"/>
        <v>83.375988281250002</v>
      </c>
      <c r="AU69" s="50">
        <f t="shared" si="7"/>
        <v>15525</v>
      </c>
      <c r="AV69" s="50">
        <f t="shared" si="8"/>
        <v>776.25</v>
      </c>
      <c r="AW69" s="50">
        <f t="shared" si="9"/>
        <v>0</v>
      </c>
      <c r="AX69" s="50">
        <f t="shared" si="10"/>
        <v>0</v>
      </c>
      <c r="AY69" s="50">
        <f t="shared" si="11"/>
        <v>1293.2325000000001</v>
      </c>
      <c r="AZ69" s="50">
        <f t="shared" si="27"/>
        <v>776.25</v>
      </c>
      <c r="BA69" s="56">
        <f t="shared" si="12"/>
        <v>1500</v>
      </c>
      <c r="BB69" s="50">
        <f t="shared" si="13"/>
        <v>0</v>
      </c>
      <c r="BC69" s="50">
        <f t="shared" si="14"/>
        <v>0</v>
      </c>
      <c r="BD69" s="50">
        <f t="shared" si="28"/>
        <v>19870.732499999998</v>
      </c>
      <c r="BE69" s="57">
        <f t="shared" si="15"/>
        <v>1800</v>
      </c>
      <c r="BF69" s="50">
        <f t="shared" si="29"/>
        <v>123</v>
      </c>
      <c r="BG69" s="58">
        <f t="shared" si="30"/>
        <v>200</v>
      </c>
      <c r="BH69" s="55">
        <f t="shared" si="37"/>
        <v>0</v>
      </c>
      <c r="BI69" s="55">
        <f t="shared" si="37"/>
        <v>0</v>
      </c>
      <c r="BJ69" s="55">
        <f t="shared" si="17"/>
        <v>405</v>
      </c>
      <c r="BK69" s="59">
        <v>25</v>
      </c>
      <c r="BL69" s="55">
        <f t="shared" si="18"/>
        <v>2553</v>
      </c>
      <c r="BM69" s="61">
        <f t="shared" si="19"/>
        <v>17318</v>
      </c>
      <c r="BN69" s="57">
        <f t="shared" si="20"/>
        <v>1950</v>
      </c>
      <c r="BO69" s="55">
        <f t="shared" si="31"/>
        <v>530</v>
      </c>
      <c r="BP69" s="55">
        <v>75</v>
      </c>
      <c r="BQ69" s="55">
        <v>300</v>
      </c>
      <c r="BR69" s="55">
        <f t="shared" si="32"/>
        <v>1486</v>
      </c>
      <c r="BS69" s="50">
        <f t="shared" si="21"/>
        <v>24211.732499999998</v>
      </c>
    </row>
    <row r="70" spans="1:71" s="62" customFormat="1" ht="15.75" x14ac:dyDescent="0.25">
      <c r="A70" s="31">
        <v>62</v>
      </c>
      <c r="B70" s="32"/>
      <c r="C70" s="33" t="s">
        <v>542</v>
      </c>
      <c r="D70" s="34" t="s">
        <v>543</v>
      </c>
      <c r="E70" s="35" t="s">
        <v>544</v>
      </c>
      <c r="F70" s="35" t="s">
        <v>78</v>
      </c>
      <c r="G70" s="36" t="s">
        <v>545</v>
      </c>
      <c r="H70" s="37" t="s">
        <v>546</v>
      </c>
      <c r="I70" s="38">
        <v>45619</v>
      </c>
      <c r="J70" s="39" t="s">
        <v>547</v>
      </c>
      <c r="K70" s="40" t="s">
        <v>107</v>
      </c>
      <c r="L70" s="41" t="s">
        <v>548</v>
      </c>
      <c r="M70" s="35" t="s">
        <v>108</v>
      </c>
      <c r="N70" s="42" t="s">
        <v>549</v>
      </c>
      <c r="O70" s="43">
        <v>2504891097</v>
      </c>
      <c r="P70" s="44">
        <v>8080255817</v>
      </c>
      <c r="Q70" s="40"/>
      <c r="R70" s="35" t="s">
        <v>475</v>
      </c>
      <c r="S70" s="45" t="s">
        <v>88</v>
      </c>
      <c r="T70" s="45" t="s">
        <v>89</v>
      </c>
      <c r="U70" s="46" t="s">
        <v>90</v>
      </c>
      <c r="V70" s="47">
        <v>26</v>
      </c>
      <c r="W70" s="48">
        <v>0</v>
      </c>
      <c r="X70" s="48">
        <v>0</v>
      </c>
      <c r="Y70" s="49">
        <f t="shared" si="0"/>
        <v>26</v>
      </c>
      <c r="Z70" s="50"/>
      <c r="AA70" s="51"/>
      <c r="AB70" s="52">
        <f t="shared" si="1"/>
        <v>390</v>
      </c>
      <c r="AC70" s="51"/>
      <c r="AD70" s="51"/>
      <c r="AE70" s="53">
        <v>15525</v>
      </c>
      <c r="AF70" s="54">
        <f t="shared" si="2"/>
        <v>776.25</v>
      </c>
      <c r="AG70" s="53">
        <v>0</v>
      </c>
      <c r="AH70" s="53">
        <v>0</v>
      </c>
      <c r="AI70" s="55">
        <f t="shared" si="34"/>
        <v>1293.2325000000001</v>
      </c>
      <c r="AJ70" s="55">
        <f t="shared" si="22"/>
        <v>776.25</v>
      </c>
      <c r="AK70" s="50">
        <f t="shared" si="23"/>
        <v>18370.732499999998</v>
      </c>
      <c r="AL70" s="50">
        <v>1500</v>
      </c>
      <c r="AM70" s="50">
        <v>1950</v>
      </c>
      <c r="AN70" s="50">
        <f t="shared" si="24"/>
        <v>555.01875000000007</v>
      </c>
      <c r="AO70" s="50">
        <v>300</v>
      </c>
      <c r="AP70" s="50">
        <f t="shared" si="25"/>
        <v>1482.3025875000001</v>
      </c>
      <c r="AQ70" s="50">
        <f t="shared" si="26"/>
        <v>24158.053837499996</v>
      </c>
      <c r="AR70" s="52">
        <f t="shared" si="4"/>
        <v>894.74273472222205</v>
      </c>
      <c r="AS70" s="52">
        <f t="shared" si="5"/>
        <v>75.46875</v>
      </c>
      <c r="AT70" s="52">
        <f t="shared" si="6"/>
        <v>83.375988281250002</v>
      </c>
      <c r="AU70" s="50">
        <f t="shared" si="7"/>
        <v>14950</v>
      </c>
      <c r="AV70" s="50">
        <f t="shared" si="8"/>
        <v>747.5</v>
      </c>
      <c r="AW70" s="50">
        <f t="shared" si="9"/>
        <v>0</v>
      </c>
      <c r="AX70" s="50">
        <f t="shared" si="10"/>
        <v>0</v>
      </c>
      <c r="AY70" s="50">
        <f t="shared" si="11"/>
        <v>1245.335</v>
      </c>
      <c r="AZ70" s="50">
        <f t="shared" si="27"/>
        <v>747.5</v>
      </c>
      <c r="BA70" s="56">
        <f t="shared" si="12"/>
        <v>1444</v>
      </c>
      <c r="BB70" s="50">
        <f t="shared" si="13"/>
        <v>0</v>
      </c>
      <c r="BC70" s="50">
        <f t="shared" si="14"/>
        <v>0</v>
      </c>
      <c r="BD70" s="50">
        <f t="shared" si="28"/>
        <v>19134.334999999999</v>
      </c>
      <c r="BE70" s="57">
        <f t="shared" si="15"/>
        <v>1733</v>
      </c>
      <c r="BF70" s="50">
        <f t="shared" si="29"/>
        <v>118</v>
      </c>
      <c r="BG70" s="58">
        <f t="shared" si="30"/>
        <v>200</v>
      </c>
      <c r="BH70" s="55">
        <f t="shared" si="37"/>
        <v>0</v>
      </c>
      <c r="BI70" s="55">
        <f t="shared" si="37"/>
        <v>0</v>
      </c>
      <c r="BJ70" s="55">
        <f t="shared" si="17"/>
        <v>390</v>
      </c>
      <c r="BK70" s="59">
        <v>25</v>
      </c>
      <c r="BL70" s="55">
        <f t="shared" si="18"/>
        <v>2466</v>
      </c>
      <c r="BM70" s="61">
        <f t="shared" si="19"/>
        <v>16668</v>
      </c>
      <c r="BN70" s="57">
        <f t="shared" si="20"/>
        <v>1878</v>
      </c>
      <c r="BO70" s="55">
        <f t="shared" si="31"/>
        <v>510</v>
      </c>
      <c r="BP70" s="55">
        <v>75</v>
      </c>
      <c r="BQ70" s="55">
        <v>300</v>
      </c>
      <c r="BR70" s="55">
        <f t="shared" si="32"/>
        <v>1432</v>
      </c>
      <c r="BS70" s="50">
        <f t="shared" si="21"/>
        <v>23329.334999999999</v>
      </c>
    </row>
    <row r="71" spans="1:71" s="62" customFormat="1" ht="15.75" x14ac:dyDescent="0.25">
      <c r="A71" s="31">
        <v>63</v>
      </c>
      <c r="B71" s="32"/>
      <c r="C71" s="33" t="s">
        <v>550</v>
      </c>
      <c r="D71" s="34" t="s">
        <v>551</v>
      </c>
      <c r="E71" s="35" t="s">
        <v>552</v>
      </c>
      <c r="F71" s="35" t="s">
        <v>78</v>
      </c>
      <c r="G71" s="36" t="s">
        <v>553</v>
      </c>
      <c r="H71" s="37" t="s">
        <v>554</v>
      </c>
      <c r="I71" s="38">
        <v>45614</v>
      </c>
      <c r="J71" s="39" t="s">
        <v>555</v>
      </c>
      <c r="K71" s="40" t="s">
        <v>82</v>
      </c>
      <c r="L71" s="41" t="s">
        <v>556</v>
      </c>
      <c r="M71" s="35" t="s">
        <v>84</v>
      </c>
      <c r="N71" s="42" t="s">
        <v>557</v>
      </c>
      <c r="O71" s="43">
        <v>2504888536</v>
      </c>
      <c r="P71" s="44">
        <v>9022980750</v>
      </c>
      <c r="Q71" s="40"/>
      <c r="R71" s="35" t="s">
        <v>475</v>
      </c>
      <c r="S71" s="45" t="s">
        <v>88</v>
      </c>
      <c r="T71" s="45" t="s">
        <v>89</v>
      </c>
      <c r="U71" s="46" t="s">
        <v>90</v>
      </c>
      <c r="V71" s="47">
        <v>27</v>
      </c>
      <c r="W71" s="48">
        <v>0</v>
      </c>
      <c r="X71" s="48">
        <v>0</v>
      </c>
      <c r="Y71" s="49">
        <f t="shared" si="0"/>
        <v>27</v>
      </c>
      <c r="Z71" s="50"/>
      <c r="AA71" s="51"/>
      <c r="AB71" s="52">
        <f t="shared" si="1"/>
        <v>405</v>
      </c>
      <c r="AC71" s="51"/>
      <c r="AD71" s="51"/>
      <c r="AE71" s="53">
        <v>15525</v>
      </c>
      <c r="AF71" s="54">
        <f t="shared" si="2"/>
        <v>776.25</v>
      </c>
      <c r="AG71" s="53">
        <v>0</v>
      </c>
      <c r="AH71" s="53">
        <v>0</v>
      </c>
      <c r="AI71" s="55">
        <f t="shared" si="34"/>
        <v>1293.2325000000001</v>
      </c>
      <c r="AJ71" s="55">
        <f t="shared" si="22"/>
        <v>776.25</v>
      </c>
      <c r="AK71" s="50">
        <f t="shared" si="23"/>
        <v>18370.732499999998</v>
      </c>
      <c r="AL71" s="50">
        <v>1500</v>
      </c>
      <c r="AM71" s="50">
        <v>1950</v>
      </c>
      <c r="AN71" s="50">
        <f t="shared" si="24"/>
        <v>555.01875000000007</v>
      </c>
      <c r="AO71" s="50">
        <v>300</v>
      </c>
      <c r="AP71" s="50">
        <f t="shared" si="25"/>
        <v>1482.3025875000001</v>
      </c>
      <c r="AQ71" s="50">
        <f t="shared" si="26"/>
        <v>24158.053837499996</v>
      </c>
      <c r="AR71" s="52">
        <f t="shared" si="4"/>
        <v>894.74273472222205</v>
      </c>
      <c r="AS71" s="52">
        <f t="shared" si="5"/>
        <v>75.46875</v>
      </c>
      <c r="AT71" s="52">
        <f t="shared" si="6"/>
        <v>83.375988281250002</v>
      </c>
      <c r="AU71" s="50">
        <f t="shared" si="7"/>
        <v>15525</v>
      </c>
      <c r="AV71" s="50">
        <f t="shared" si="8"/>
        <v>776.25</v>
      </c>
      <c r="AW71" s="50">
        <f t="shared" si="9"/>
        <v>0</v>
      </c>
      <c r="AX71" s="50">
        <f t="shared" si="10"/>
        <v>0</v>
      </c>
      <c r="AY71" s="50">
        <f t="shared" si="11"/>
        <v>1293.2325000000001</v>
      </c>
      <c r="AZ71" s="50">
        <f t="shared" si="27"/>
        <v>776.25</v>
      </c>
      <c r="BA71" s="56">
        <f t="shared" si="12"/>
        <v>1500</v>
      </c>
      <c r="BB71" s="50">
        <f t="shared" si="13"/>
        <v>0</v>
      </c>
      <c r="BC71" s="50">
        <f t="shared" si="14"/>
        <v>0</v>
      </c>
      <c r="BD71" s="50">
        <f t="shared" si="28"/>
        <v>19870.732499999998</v>
      </c>
      <c r="BE71" s="57">
        <f t="shared" si="15"/>
        <v>1800</v>
      </c>
      <c r="BF71" s="50">
        <f t="shared" si="29"/>
        <v>123</v>
      </c>
      <c r="BG71" s="58">
        <f t="shared" si="30"/>
        <v>200</v>
      </c>
      <c r="BH71" s="55">
        <f t="shared" si="37"/>
        <v>0</v>
      </c>
      <c r="BI71" s="55">
        <f t="shared" si="37"/>
        <v>0</v>
      </c>
      <c r="BJ71" s="55">
        <f t="shared" si="17"/>
        <v>405</v>
      </c>
      <c r="BK71" s="59">
        <v>25</v>
      </c>
      <c r="BL71" s="55">
        <f t="shared" si="18"/>
        <v>2553</v>
      </c>
      <c r="BM71" s="61">
        <f t="shared" si="19"/>
        <v>17318</v>
      </c>
      <c r="BN71" s="57">
        <f t="shared" si="20"/>
        <v>1950</v>
      </c>
      <c r="BO71" s="55">
        <f t="shared" si="31"/>
        <v>530</v>
      </c>
      <c r="BP71" s="55">
        <v>75</v>
      </c>
      <c r="BQ71" s="55">
        <v>300</v>
      </c>
      <c r="BR71" s="55">
        <f t="shared" si="32"/>
        <v>1486</v>
      </c>
      <c r="BS71" s="50">
        <f t="shared" si="21"/>
        <v>24211.732499999998</v>
      </c>
    </row>
    <row r="72" spans="1:71" s="62" customFormat="1" ht="15.75" x14ac:dyDescent="0.25">
      <c r="A72" s="31">
        <v>64</v>
      </c>
      <c r="B72" s="32"/>
      <c r="C72" s="33" t="s">
        <v>558</v>
      </c>
      <c r="D72" s="34" t="s">
        <v>559</v>
      </c>
      <c r="E72" s="35" t="s">
        <v>560</v>
      </c>
      <c r="F72" s="35" t="s">
        <v>78</v>
      </c>
      <c r="G72" s="36" t="s">
        <v>561</v>
      </c>
      <c r="H72" s="37" t="s">
        <v>562</v>
      </c>
      <c r="I72" s="38">
        <v>45625</v>
      </c>
      <c r="J72" s="39" t="s">
        <v>563</v>
      </c>
      <c r="K72" s="40" t="s">
        <v>141</v>
      </c>
      <c r="L72" s="41" t="s">
        <v>564</v>
      </c>
      <c r="M72" s="35" t="s">
        <v>173</v>
      </c>
      <c r="N72" s="42" t="s">
        <v>565</v>
      </c>
      <c r="O72" s="43">
        <v>2504889551</v>
      </c>
      <c r="P72" s="44">
        <v>7875645813</v>
      </c>
      <c r="Q72" s="40"/>
      <c r="R72" s="35" t="s">
        <v>110</v>
      </c>
      <c r="S72" s="45" t="s">
        <v>88</v>
      </c>
      <c r="T72" s="45" t="s">
        <v>89</v>
      </c>
      <c r="U72" s="46" t="s">
        <v>90</v>
      </c>
      <c r="V72" s="47">
        <v>26</v>
      </c>
      <c r="W72" s="48">
        <v>0</v>
      </c>
      <c r="X72" s="48">
        <v>0</v>
      </c>
      <c r="Y72" s="49">
        <f t="shared" si="0"/>
        <v>26</v>
      </c>
      <c r="Z72" s="50"/>
      <c r="AA72" s="51"/>
      <c r="AB72" s="52">
        <f t="shared" si="1"/>
        <v>390</v>
      </c>
      <c r="AC72" s="51"/>
      <c r="AD72" s="51"/>
      <c r="AE72" s="53">
        <v>15525</v>
      </c>
      <c r="AF72" s="54">
        <f t="shared" si="2"/>
        <v>776.25</v>
      </c>
      <c r="AG72" s="53">
        <v>0</v>
      </c>
      <c r="AH72" s="53">
        <v>0</v>
      </c>
      <c r="AI72" s="55">
        <f t="shared" si="34"/>
        <v>1293.2325000000001</v>
      </c>
      <c r="AJ72" s="55">
        <f t="shared" si="22"/>
        <v>776.25</v>
      </c>
      <c r="AK72" s="50">
        <f t="shared" si="23"/>
        <v>18370.732499999998</v>
      </c>
      <c r="AL72" s="50">
        <v>1500</v>
      </c>
      <c r="AM72" s="50">
        <v>1950</v>
      </c>
      <c r="AN72" s="50">
        <f t="shared" si="24"/>
        <v>555.01875000000007</v>
      </c>
      <c r="AO72" s="50">
        <v>300</v>
      </c>
      <c r="AP72" s="50">
        <f t="shared" si="25"/>
        <v>1482.3025875000001</v>
      </c>
      <c r="AQ72" s="50">
        <f t="shared" si="26"/>
        <v>24158.053837499996</v>
      </c>
      <c r="AR72" s="52">
        <f t="shared" si="4"/>
        <v>894.74273472222205</v>
      </c>
      <c r="AS72" s="52">
        <f t="shared" si="5"/>
        <v>75.46875</v>
      </c>
      <c r="AT72" s="52">
        <f t="shared" si="6"/>
        <v>83.375988281250002</v>
      </c>
      <c r="AU72" s="50">
        <f t="shared" si="7"/>
        <v>14950</v>
      </c>
      <c r="AV72" s="50">
        <f t="shared" si="8"/>
        <v>747.5</v>
      </c>
      <c r="AW72" s="50">
        <f t="shared" si="9"/>
        <v>0</v>
      </c>
      <c r="AX72" s="50">
        <f t="shared" si="10"/>
        <v>0</v>
      </c>
      <c r="AY72" s="50">
        <f t="shared" si="11"/>
        <v>1245.335</v>
      </c>
      <c r="AZ72" s="50">
        <f t="shared" si="27"/>
        <v>747.5</v>
      </c>
      <c r="BA72" s="56">
        <f t="shared" si="12"/>
        <v>1444</v>
      </c>
      <c r="BB72" s="50">
        <f t="shared" si="13"/>
        <v>0</v>
      </c>
      <c r="BC72" s="50">
        <f t="shared" si="14"/>
        <v>0</v>
      </c>
      <c r="BD72" s="50">
        <f t="shared" si="28"/>
        <v>19134.334999999999</v>
      </c>
      <c r="BE72" s="57">
        <f t="shared" si="15"/>
        <v>1733</v>
      </c>
      <c r="BF72" s="50">
        <f t="shared" si="29"/>
        <v>118</v>
      </c>
      <c r="BG72" s="58">
        <f t="shared" si="30"/>
        <v>200</v>
      </c>
      <c r="BH72" s="55">
        <f t="shared" si="37"/>
        <v>0</v>
      </c>
      <c r="BI72" s="55">
        <f t="shared" si="37"/>
        <v>0</v>
      </c>
      <c r="BJ72" s="55">
        <f t="shared" si="17"/>
        <v>390</v>
      </c>
      <c r="BK72" s="59">
        <v>25</v>
      </c>
      <c r="BL72" s="55">
        <f t="shared" si="18"/>
        <v>2466</v>
      </c>
      <c r="BM72" s="61">
        <f t="shared" si="19"/>
        <v>16668</v>
      </c>
      <c r="BN72" s="57">
        <f t="shared" si="20"/>
        <v>1878</v>
      </c>
      <c r="BO72" s="55">
        <f t="shared" si="31"/>
        <v>510</v>
      </c>
      <c r="BP72" s="55">
        <v>75</v>
      </c>
      <c r="BQ72" s="55">
        <v>300</v>
      </c>
      <c r="BR72" s="55">
        <f t="shared" si="32"/>
        <v>1432</v>
      </c>
      <c r="BS72" s="50">
        <f t="shared" si="21"/>
        <v>23329.334999999999</v>
      </c>
    </row>
    <row r="73" spans="1:71" s="62" customFormat="1" ht="15.75" x14ac:dyDescent="0.25">
      <c r="A73" s="31">
        <v>65</v>
      </c>
      <c r="B73" s="32"/>
      <c r="C73" s="33" t="s">
        <v>566</v>
      </c>
      <c r="D73" s="34" t="s">
        <v>567</v>
      </c>
      <c r="E73" s="35" t="s">
        <v>568</v>
      </c>
      <c r="F73" s="35" t="s">
        <v>78</v>
      </c>
      <c r="G73" s="36" t="s">
        <v>569</v>
      </c>
      <c r="H73" s="37" t="s">
        <v>570</v>
      </c>
      <c r="I73" s="38">
        <v>45614</v>
      </c>
      <c r="J73" s="39" t="s">
        <v>571</v>
      </c>
      <c r="K73" s="40" t="s">
        <v>96</v>
      </c>
      <c r="L73" s="41" t="s">
        <v>572</v>
      </c>
      <c r="M73" s="35" t="s">
        <v>98</v>
      </c>
      <c r="N73" s="42" t="s">
        <v>573</v>
      </c>
      <c r="O73" s="43">
        <v>2504888604</v>
      </c>
      <c r="P73" s="44">
        <v>8459835416</v>
      </c>
      <c r="Q73" s="40"/>
      <c r="R73" s="35" t="s">
        <v>342</v>
      </c>
      <c r="S73" s="45" t="s">
        <v>88</v>
      </c>
      <c r="T73" s="45" t="s">
        <v>89</v>
      </c>
      <c r="U73" s="46" t="s">
        <v>90</v>
      </c>
      <c r="V73" s="47">
        <v>27</v>
      </c>
      <c r="W73" s="48">
        <v>0</v>
      </c>
      <c r="X73" s="48">
        <v>0</v>
      </c>
      <c r="Y73" s="49">
        <f t="shared" ref="Y73:Y117" si="38">V73+W73+X73</f>
        <v>27</v>
      </c>
      <c r="Z73" s="50"/>
      <c r="AA73" s="51"/>
      <c r="AB73" s="52">
        <f t="shared" ref="AB73:AB117" si="39">(V73+W73)*15</f>
        <v>405</v>
      </c>
      <c r="AC73" s="51"/>
      <c r="AD73" s="51"/>
      <c r="AE73" s="53">
        <v>15525</v>
      </c>
      <c r="AF73" s="54">
        <f t="shared" ref="AF73:AF117" si="40">+AE73*5%</f>
        <v>776.25</v>
      </c>
      <c r="AG73" s="53">
        <v>0</v>
      </c>
      <c r="AH73" s="53">
        <v>0</v>
      </c>
      <c r="AI73" s="55">
        <f t="shared" si="34"/>
        <v>1293.2325000000001</v>
      </c>
      <c r="AJ73" s="55">
        <f t="shared" si="22"/>
        <v>776.25</v>
      </c>
      <c r="AK73" s="50">
        <f t="shared" si="23"/>
        <v>18370.732499999998</v>
      </c>
      <c r="AL73" s="50">
        <v>1500</v>
      </c>
      <c r="AM73" s="50">
        <v>1950</v>
      </c>
      <c r="AN73" s="50">
        <f t="shared" si="24"/>
        <v>555.01875000000007</v>
      </c>
      <c r="AO73" s="50">
        <v>300</v>
      </c>
      <c r="AP73" s="50">
        <f t="shared" si="25"/>
        <v>1482.3025875000001</v>
      </c>
      <c r="AQ73" s="50">
        <f t="shared" si="26"/>
        <v>24158.053837499996</v>
      </c>
      <c r="AR73" s="52">
        <f t="shared" ref="AR73:AR117" si="41">AQ73/U73</f>
        <v>894.74273472222205</v>
      </c>
      <c r="AS73" s="52">
        <f t="shared" ref="AS73:AS117" si="42">(AE73+AF73+AG73)/U73/8</f>
        <v>75.46875</v>
      </c>
      <c r="AT73" s="52">
        <f t="shared" ref="AT73:AT117" si="43">(AS73*3.25%)+(AS73)+(AS73*3.25%+AS73)*7%</f>
        <v>83.375988281250002</v>
      </c>
      <c r="AU73" s="50">
        <f t="shared" ref="AU73:AU117" si="44">AE73/U73*Y73</f>
        <v>15525</v>
      </c>
      <c r="AV73" s="50">
        <f t="shared" ref="AV73:AV117" si="45">AF73/U73*Y73</f>
        <v>776.25</v>
      </c>
      <c r="AW73" s="50">
        <f t="shared" ref="AW73:AW117" si="46">AG73/U73*Y73</f>
        <v>0</v>
      </c>
      <c r="AX73" s="50">
        <f t="shared" ref="AX73:AX117" si="47">AH73/U73*Y73</f>
        <v>0</v>
      </c>
      <c r="AY73" s="50">
        <f t="shared" ref="AY73:AY117" si="48">AI73/U73*Y73</f>
        <v>1293.2325000000001</v>
      </c>
      <c r="AZ73" s="50">
        <f t="shared" si="27"/>
        <v>776.25</v>
      </c>
      <c r="BA73" s="56">
        <f t="shared" ref="BA73:BA117" si="49">ROUND(AL73/U73*Y73,0)</f>
        <v>1500</v>
      </c>
      <c r="BB73" s="50">
        <f t="shared" ref="BB73:BB117" si="50">ROUND(AS73*Z73,0)</f>
        <v>0</v>
      </c>
      <c r="BC73" s="50">
        <f t="shared" ref="BC73:BC117" si="51">+AA73</f>
        <v>0</v>
      </c>
      <c r="BD73" s="50">
        <f t="shared" si="28"/>
        <v>19870.732499999998</v>
      </c>
      <c r="BE73" s="57">
        <f t="shared" ref="BE73:BE117" si="52">IF(ROUND(IF((AK73)&lt;=15000,(AQ73)*12%,15000*12%*Y73/U73),0)&lt;=1800,ROUND(IF((AK73)&lt;=15000,(AQ73)*12%,15000*12%*Y73/U73),0),1800)</f>
        <v>1800</v>
      </c>
      <c r="BF73" s="50">
        <f t="shared" si="29"/>
        <v>123</v>
      </c>
      <c r="BG73" s="58">
        <f t="shared" si="30"/>
        <v>200</v>
      </c>
      <c r="BH73" s="55">
        <f t="shared" si="37"/>
        <v>0</v>
      </c>
      <c r="BI73" s="55">
        <f t="shared" si="37"/>
        <v>0</v>
      </c>
      <c r="BJ73" s="55">
        <f t="shared" ref="BJ73:BJ117" si="53">+AB73</f>
        <v>405</v>
      </c>
      <c r="BK73" s="59">
        <v>25</v>
      </c>
      <c r="BL73" s="55">
        <f t="shared" ref="BL73:BL117" si="54">BK73+BJ73+BI73+BH73+BG73+BF73+BE73</f>
        <v>2553</v>
      </c>
      <c r="BM73" s="61">
        <f t="shared" ref="BM73:BM117" si="55">ROUND(BD73-BE73-BF73-BG73-BH73-BI73-BJ73-BK73,0)</f>
        <v>17318</v>
      </c>
      <c r="BN73" s="57">
        <f t="shared" ref="BN73:BN117" si="56">IF(ROUND(IF((AK73)&lt;=15000,(AQ73)*13%,15000*13%*Y73/U73),0)&lt;=1950,ROUND(IF((AK73)&lt;=15000,(AQ73)*13%,15000*13%*Y73/U73),0),1950)</f>
        <v>1950</v>
      </c>
      <c r="BO73" s="55">
        <f t="shared" si="31"/>
        <v>530</v>
      </c>
      <c r="BP73" s="55">
        <v>75</v>
      </c>
      <c r="BQ73" s="55">
        <v>300</v>
      </c>
      <c r="BR73" s="55">
        <f t="shared" si="32"/>
        <v>1486</v>
      </c>
      <c r="BS73" s="50">
        <f t="shared" ref="BS73:BS117" si="57">BD73+BN73+BO73+BQ73+BR73+BP73</f>
        <v>24211.732499999998</v>
      </c>
    </row>
    <row r="74" spans="1:71" s="62" customFormat="1" ht="15.75" x14ac:dyDescent="0.25">
      <c r="A74" s="31">
        <v>66</v>
      </c>
      <c r="B74" s="32"/>
      <c r="C74" s="33" t="s">
        <v>574</v>
      </c>
      <c r="D74" s="34" t="s">
        <v>575</v>
      </c>
      <c r="E74" s="35" t="s">
        <v>576</v>
      </c>
      <c r="F74" s="35" t="s">
        <v>78</v>
      </c>
      <c r="G74" s="36" t="s">
        <v>577</v>
      </c>
      <c r="H74" s="37" t="s">
        <v>578</v>
      </c>
      <c r="I74" s="38">
        <v>45616</v>
      </c>
      <c r="J74" s="39" t="s">
        <v>579</v>
      </c>
      <c r="K74" s="40" t="s">
        <v>107</v>
      </c>
      <c r="L74" s="41" t="s">
        <v>580</v>
      </c>
      <c r="M74" s="35" t="s">
        <v>108</v>
      </c>
      <c r="N74" s="42" t="s">
        <v>581</v>
      </c>
      <c r="O74" s="43">
        <v>2504889616</v>
      </c>
      <c r="P74" s="44">
        <v>7767866801</v>
      </c>
      <c r="Q74" s="40"/>
      <c r="R74" s="35" t="s">
        <v>475</v>
      </c>
      <c r="S74" s="45" t="s">
        <v>88</v>
      </c>
      <c r="T74" s="45" t="s">
        <v>89</v>
      </c>
      <c r="U74" s="46" t="s">
        <v>90</v>
      </c>
      <c r="V74" s="47">
        <v>27</v>
      </c>
      <c r="W74" s="48">
        <v>0</v>
      </c>
      <c r="X74" s="48">
        <v>0</v>
      </c>
      <c r="Y74" s="49">
        <f t="shared" si="38"/>
        <v>27</v>
      </c>
      <c r="Z74" s="50"/>
      <c r="AA74" s="51"/>
      <c r="AB74" s="52">
        <f t="shared" si="39"/>
        <v>405</v>
      </c>
      <c r="AC74" s="51"/>
      <c r="AD74" s="51"/>
      <c r="AE74" s="53">
        <v>15525</v>
      </c>
      <c r="AF74" s="54">
        <f t="shared" si="40"/>
        <v>776.25</v>
      </c>
      <c r="AG74" s="53">
        <v>0</v>
      </c>
      <c r="AH74" s="53">
        <v>0</v>
      </c>
      <c r="AI74" s="55">
        <f t="shared" si="34"/>
        <v>1293.2325000000001</v>
      </c>
      <c r="AJ74" s="55">
        <f t="shared" ref="AJ74:AJ117" si="58">AE74*5%</f>
        <v>776.25</v>
      </c>
      <c r="AK74" s="50">
        <f t="shared" ref="AK74:AK117" si="59">SUM(AE74:AJ74)</f>
        <v>18370.732499999998</v>
      </c>
      <c r="AL74" s="50">
        <v>1500</v>
      </c>
      <c r="AM74" s="50">
        <v>1950</v>
      </c>
      <c r="AN74" s="50">
        <f t="shared" ref="AN74:AN117" si="60">(AK74-AI74)*3.25%</f>
        <v>555.01875000000007</v>
      </c>
      <c r="AO74" s="50">
        <v>300</v>
      </c>
      <c r="AP74" s="50">
        <f t="shared" ref="AP74:AP117" si="61">(AK74+AM74+AN74+AO74)*7%</f>
        <v>1482.3025875000001</v>
      </c>
      <c r="AQ74" s="50">
        <f t="shared" ref="AQ74:AQ117" si="62">AK74+AM74+AO74+AN74+AP74+AL74</f>
        <v>24158.053837499996</v>
      </c>
      <c r="AR74" s="52">
        <f t="shared" si="41"/>
        <v>894.74273472222205</v>
      </c>
      <c r="AS74" s="52">
        <f t="shared" si="42"/>
        <v>75.46875</v>
      </c>
      <c r="AT74" s="52">
        <f t="shared" si="43"/>
        <v>83.375988281250002</v>
      </c>
      <c r="AU74" s="50">
        <f t="shared" si="44"/>
        <v>15525</v>
      </c>
      <c r="AV74" s="50">
        <f t="shared" si="45"/>
        <v>776.25</v>
      </c>
      <c r="AW74" s="50">
        <f t="shared" si="46"/>
        <v>0</v>
      </c>
      <c r="AX74" s="50">
        <f t="shared" si="47"/>
        <v>0</v>
      </c>
      <c r="AY74" s="50">
        <f t="shared" si="48"/>
        <v>1293.2325000000001</v>
      </c>
      <c r="AZ74" s="50">
        <f t="shared" ref="AZ74:AZ117" si="63">AJ74/U74*Y74</f>
        <v>776.25</v>
      </c>
      <c r="BA74" s="56">
        <f t="shared" si="49"/>
        <v>1500</v>
      </c>
      <c r="BB74" s="50">
        <f t="shared" si="50"/>
        <v>0</v>
      </c>
      <c r="BC74" s="50">
        <f t="shared" si="51"/>
        <v>0</v>
      </c>
      <c r="BD74" s="50">
        <f t="shared" ref="BD74:BD117" si="64">AU74+AV74+AW74+BA74+BB74+BC74+AX74+AY74+AZ74</f>
        <v>19870.732499999998</v>
      </c>
      <c r="BE74" s="57">
        <f t="shared" si="52"/>
        <v>1800</v>
      </c>
      <c r="BF74" s="50">
        <f t="shared" ref="BF74:BF117" si="65">ROUNDUP((BD74-BA74-AY74-AZ74)*0.75%,0)</f>
        <v>123</v>
      </c>
      <c r="BG74" s="58">
        <f t="shared" ref="BG74:BG117" si="66">IF(BD74&gt;=10000,200,IF(BD74&gt;=7500,175,IF(BD74&lt;=7500,0)))</f>
        <v>200</v>
      </c>
      <c r="BH74" s="55">
        <f t="shared" si="37"/>
        <v>0</v>
      </c>
      <c r="BI74" s="55">
        <f t="shared" si="37"/>
        <v>0</v>
      </c>
      <c r="BJ74" s="55">
        <f t="shared" si="53"/>
        <v>405</v>
      </c>
      <c r="BK74" s="59">
        <v>25</v>
      </c>
      <c r="BL74" s="55">
        <f t="shared" si="54"/>
        <v>2553</v>
      </c>
      <c r="BM74" s="61">
        <f t="shared" si="55"/>
        <v>17318</v>
      </c>
      <c r="BN74" s="57">
        <f t="shared" si="56"/>
        <v>1950</v>
      </c>
      <c r="BO74" s="55">
        <f t="shared" ref="BO74:BO117" si="67">ROUND((BD74-BA74-AY74-AZ74)*3.25%,0)</f>
        <v>530</v>
      </c>
      <c r="BP74" s="55">
        <v>75</v>
      </c>
      <c r="BQ74" s="55">
        <v>300</v>
      </c>
      <c r="BR74" s="55">
        <f t="shared" ref="BR74:BR117" si="68">ROUND((BQ74+BN74+BO74+BP74+BD74-BA74)*7%,0)</f>
        <v>1486</v>
      </c>
      <c r="BS74" s="50">
        <f t="shared" si="57"/>
        <v>24211.732499999998</v>
      </c>
    </row>
    <row r="75" spans="1:71" s="62" customFormat="1" ht="15.75" x14ac:dyDescent="0.25">
      <c r="A75" s="31">
        <v>67</v>
      </c>
      <c r="B75" s="32"/>
      <c r="C75" s="33" t="s">
        <v>582</v>
      </c>
      <c r="D75" s="34" t="s">
        <v>583</v>
      </c>
      <c r="E75" s="35" t="s">
        <v>584</v>
      </c>
      <c r="F75" s="35" t="s">
        <v>359</v>
      </c>
      <c r="G75" s="36" t="s">
        <v>585</v>
      </c>
      <c r="H75" s="37" t="s">
        <v>586</v>
      </c>
      <c r="I75" s="38" t="s">
        <v>587</v>
      </c>
      <c r="J75" s="39" t="s">
        <v>588</v>
      </c>
      <c r="K75" s="40" t="s">
        <v>107</v>
      </c>
      <c r="L75" s="41" t="s">
        <v>589</v>
      </c>
      <c r="M75" s="35" t="s">
        <v>590</v>
      </c>
      <c r="N75" s="42" t="s">
        <v>591</v>
      </c>
      <c r="O75" s="43">
        <v>2504909132</v>
      </c>
      <c r="P75" s="44">
        <v>7666525307</v>
      </c>
      <c r="Q75" s="40"/>
      <c r="R75" s="35" t="s">
        <v>182</v>
      </c>
      <c r="S75" s="45" t="s">
        <v>386</v>
      </c>
      <c r="T75" s="45" t="s">
        <v>387</v>
      </c>
      <c r="U75" s="46" t="s">
        <v>90</v>
      </c>
      <c r="V75" s="47">
        <v>0</v>
      </c>
      <c r="W75" s="48">
        <v>0</v>
      </c>
      <c r="X75" s="48">
        <v>0</v>
      </c>
      <c r="Y75" s="49">
        <f t="shared" si="38"/>
        <v>0</v>
      </c>
      <c r="Z75" s="50"/>
      <c r="AA75" s="51"/>
      <c r="AB75" s="52">
        <f t="shared" si="39"/>
        <v>0</v>
      </c>
      <c r="AC75" s="51"/>
      <c r="AD75" s="51"/>
      <c r="AE75" s="53">
        <v>15525</v>
      </c>
      <c r="AF75" s="54">
        <f t="shared" si="40"/>
        <v>776.25</v>
      </c>
      <c r="AG75" s="53">
        <v>500</v>
      </c>
      <c r="AH75" s="53">
        <v>0</v>
      </c>
      <c r="AI75" s="55">
        <f t="shared" si="34"/>
        <v>1293.2325000000001</v>
      </c>
      <c r="AJ75" s="55">
        <f t="shared" si="58"/>
        <v>776.25</v>
      </c>
      <c r="AK75" s="50">
        <f t="shared" si="59"/>
        <v>18870.732499999998</v>
      </c>
      <c r="AL75" s="50">
        <v>1500</v>
      </c>
      <c r="AM75" s="50">
        <v>1950</v>
      </c>
      <c r="AN75" s="50">
        <f t="shared" si="60"/>
        <v>571.26875000000007</v>
      </c>
      <c r="AO75" s="50">
        <v>300</v>
      </c>
      <c r="AP75" s="50">
        <f t="shared" si="61"/>
        <v>1518.4400874999999</v>
      </c>
      <c r="AQ75" s="50">
        <f t="shared" si="62"/>
        <v>24710.441337499997</v>
      </c>
      <c r="AR75" s="52">
        <f t="shared" si="41"/>
        <v>915.20153101851838</v>
      </c>
      <c r="AS75" s="52">
        <f t="shared" si="42"/>
        <v>77.78356481481481</v>
      </c>
      <c r="AT75" s="52">
        <f t="shared" si="43"/>
        <v>85.933337818287043</v>
      </c>
      <c r="AU75" s="50">
        <f t="shared" si="44"/>
        <v>0</v>
      </c>
      <c r="AV75" s="50">
        <f t="shared" si="45"/>
        <v>0</v>
      </c>
      <c r="AW75" s="50">
        <f t="shared" si="46"/>
        <v>0</v>
      </c>
      <c r="AX75" s="50">
        <f t="shared" si="47"/>
        <v>0</v>
      </c>
      <c r="AY75" s="50">
        <f t="shared" si="48"/>
        <v>0</v>
      </c>
      <c r="AZ75" s="50">
        <f t="shared" si="63"/>
        <v>0</v>
      </c>
      <c r="BA75" s="56">
        <f t="shared" si="49"/>
        <v>0</v>
      </c>
      <c r="BB75" s="50">
        <f t="shared" si="50"/>
        <v>0</v>
      </c>
      <c r="BC75" s="50">
        <f t="shared" si="51"/>
        <v>0</v>
      </c>
      <c r="BD75" s="50">
        <f t="shared" si="64"/>
        <v>0</v>
      </c>
      <c r="BE75" s="57">
        <f t="shared" si="52"/>
        <v>0</v>
      </c>
      <c r="BF75" s="50">
        <f t="shared" si="65"/>
        <v>0</v>
      </c>
      <c r="BG75" s="58">
        <f t="shared" ref="BG75:BG76" si="69">IF(BD75&gt;=10000,0,IF(BD75&gt;=7500,0,IF(BD75&lt;=7500,0)))</f>
        <v>0</v>
      </c>
      <c r="BH75" s="55">
        <f t="shared" si="37"/>
        <v>0</v>
      </c>
      <c r="BI75" s="55">
        <f t="shared" si="37"/>
        <v>0</v>
      </c>
      <c r="BJ75" s="55">
        <f t="shared" si="53"/>
        <v>0</v>
      </c>
      <c r="BK75" s="59">
        <v>0</v>
      </c>
      <c r="BL75" s="55">
        <f t="shared" si="54"/>
        <v>0</v>
      </c>
      <c r="BM75" s="61">
        <f t="shared" si="55"/>
        <v>0</v>
      </c>
      <c r="BN75" s="57">
        <f t="shared" si="56"/>
        <v>0</v>
      </c>
      <c r="BO75" s="55">
        <f t="shared" si="67"/>
        <v>0</v>
      </c>
      <c r="BP75" s="55">
        <v>0</v>
      </c>
      <c r="BQ75" s="55">
        <v>0</v>
      </c>
      <c r="BR75" s="55">
        <f t="shared" si="68"/>
        <v>0</v>
      </c>
      <c r="BS75" s="50">
        <f t="shared" si="57"/>
        <v>0</v>
      </c>
    </row>
    <row r="76" spans="1:71" s="62" customFormat="1" ht="15.75" x14ac:dyDescent="0.25">
      <c r="A76" s="31">
        <v>68</v>
      </c>
      <c r="B76" s="32"/>
      <c r="C76" s="33" t="s">
        <v>592</v>
      </c>
      <c r="D76" s="34" t="s">
        <v>593</v>
      </c>
      <c r="E76" s="35" t="s">
        <v>594</v>
      </c>
      <c r="F76" s="35" t="s">
        <v>359</v>
      </c>
      <c r="G76" s="36" t="s">
        <v>595</v>
      </c>
      <c r="H76" s="37" t="s">
        <v>596</v>
      </c>
      <c r="I76" s="38" t="s">
        <v>597</v>
      </c>
      <c r="J76" s="39" t="s">
        <v>598</v>
      </c>
      <c r="K76" s="40"/>
      <c r="L76" s="41"/>
      <c r="M76" s="35"/>
      <c r="N76" s="42" t="s">
        <v>599</v>
      </c>
      <c r="O76" s="43">
        <v>2504922490</v>
      </c>
      <c r="P76" s="44">
        <v>7028790097</v>
      </c>
      <c r="Q76" s="40"/>
      <c r="R76" s="35" t="s">
        <v>486</v>
      </c>
      <c r="S76" s="45" t="s">
        <v>88</v>
      </c>
      <c r="T76" s="45" t="s">
        <v>89</v>
      </c>
      <c r="U76" s="46" t="s">
        <v>90</v>
      </c>
      <c r="V76" s="47">
        <v>27</v>
      </c>
      <c r="W76" s="48">
        <v>0</v>
      </c>
      <c r="X76" s="48">
        <v>0</v>
      </c>
      <c r="Y76" s="49">
        <f t="shared" si="38"/>
        <v>27</v>
      </c>
      <c r="Z76" s="50"/>
      <c r="AA76" s="51"/>
      <c r="AB76" s="52">
        <f t="shared" si="39"/>
        <v>405</v>
      </c>
      <c r="AC76" s="51"/>
      <c r="AD76" s="51"/>
      <c r="AE76" s="53">
        <v>15525</v>
      </c>
      <c r="AF76" s="54">
        <f t="shared" si="40"/>
        <v>776.25</v>
      </c>
      <c r="AG76" s="53">
        <v>0</v>
      </c>
      <c r="AH76" s="53">
        <v>0</v>
      </c>
      <c r="AI76" s="55">
        <f t="shared" si="34"/>
        <v>1293.2325000000001</v>
      </c>
      <c r="AJ76" s="55">
        <f t="shared" si="58"/>
        <v>776.25</v>
      </c>
      <c r="AK76" s="50">
        <f t="shared" si="59"/>
        <v>18370.732499999998</v>
      </c>
      <c r="AL76" s="50">
        <v>1500</v>
      </c>
      <c r="AM76" s="50">
        <v>1950</v>
      </c>
      <c r="AN76" s="50">
        <f t="shared" si="60"/>
        <v>555.01875000000007</v>
      </c>
      <c r="AO76" s="50">
        <v>300</v>
      </c>
      <c r="AP76" s="50">
        <f t="shared" si="61"/>
        <v>1482.3025875000001</v>
      </c>
      <c r="AQ76" s="50">
        <f t="shared" si="62"/>
        <v>24158.053837499996</v>
      </c>
      <c r="AR76" s="52">
        <f t="shared" si="41"/>
        <v>894.74273472222205</v>
      </c>
      <c r="AS76" s="52">
        <f t="shared" si="42"/>
        <v>75.46875</v>
      </c>
      <c r="AT76" s="52">
        <f t="shared" si="43"/>
        <v>83.375988281250002</v>
      </c>
      <c r="AU76" s="50">
        <f t="shared" si="44"/>
        <v>15525</v>
      </c>
      <c r="AV76" s="50">
        <f t="shared" si="45"/>
        <v>776.25</v>
      </c>
      <c r="AW76" s="50">
        <f t="shared" si="46"/>
        <v>0</v>
      </c>
      <c r="AX76" s="50">
        <f t="shared" si="47"/>
        <v>0</v>
      </c>
      <c r="AY76" s="50">
        <f t="shared" si="48"/>
        <v>1293.2325000000001</v>
      </c>
      <c r="AZ76" s="50">
        <f t="shared" si="63"/>
        <v>776.25</v>
      </c>
      <c r="BA76" s="56">
        <f t="shared" si="49"/>
        <v>1500</v>
      </c>
      <c r="BB76" s="50">
        <f t="shared" si="50"/>
        <v>0</v>
      </c>
      <c r="BC76" s="50">
        <f t="shared" si="51"/>
        <v>0</v>
      </c>
      <c r="BD76" s="50">
        <f t="shared" si="64"/>
        <v>19870.732499999998</v>
      </c>
      <c r="BE76" s="57">
        <f t="shared" si="52"/>
        <v>1800</v>
      </c>
      <c r="BF76" s="50">
        <f t="shared" si="65"/>
        <v>123</v>
      </c>
      <c r="BG76" s="58">
        <f t="shared" si="69"/>
        <v>0</v>
      </c>
      <c r="BH76" s="55">
        <f t="shared" si="37"/>
        <v>0</v>
      </c>
      <c r="BI76" s="55">
        <f t="shared" si="37"/>
        <v>0</v>
      </c>
      <c r="BJ76" s="55">
        <f t="shared" si="53"/>
        <v>405</v>
      </c>
      <c r="BK76" s="59">
        <v>25</v>
      </c>
      <c r="BL76" s="55">
        <f t="shared" si="54"/>
        <v>2353</v>
      </c>
      <c r="BM76" s="61">
        <f t="shared" si="55"/>
        <v>17518</v>
      </c>
      <c r="BN76" s="57">
        <f t="shared" si="56"/>
        <v>1950</v>
      </c>
      <c r="BO76" s="55">
        <f t="shared" si="67"/>
        <v>530</v>
      </c>
      <c r="BP76" s="55">
        <v>75</v>
      </c>
      <c r="BQ76" s="55">
        <v>300</v>
      </c>
      <c r="BR76" s="55">
        <f t="shared" si="68"/>
        <v>1486</v>
      </c>
      <c r="BS76" s="50">
        <f t="shared" si="57"/>
        <v>24211.732499999998</v>
      </c>
    </row>
    <row r="77" spans="1:71" s="62" customFormat="1" ht="15.75" x14ac:dyDescent="0.25">
      <c r="A77" s="31">
        <v>69</v>
      </c>
      <c r="B77" s="32"/>
      <c r="C77" s="33" t="s">
        <v>600</v>
      </c>
      <c r="D77" s="34" t="s">
        <v>601</v>
      </c>
      <c r="E77" s="35" t="s">
        <v>602</v>
      </c>
      <c r="F77" s="35" t="s">
        <v>78</v>
      </c>
      <c r="G77" s="36" t="s">
        <v>603</v>
      </c>
      <c r="H77" s="37" t="s">
        <v>604</v>
      </c>
      <c r="I77" s="38" t="s">
        <v>605</v>
      </c>
      <c r="J77" s="74">
        <v>207552902531</v>
      </c>
      <c r="K77" s="40" t="s">
        <v>96</v>
      </c>
      <c r="L77" s="41" t="s">
        <v>606</v>
      </c>
      <c r="M77" s="35" t="s">
        <v>98</v>
      </c>
      <c r="N77" s="42" t="s">
        <v>607</v>
      </c>
      <c r="O77" s="43">
        <v>2504945735</v>
      </c>
      <c r="P77" s="44">
        <v>8554802531</v>
      </c>
      <c r="Q77" s="40"/>
      <c r="R77" s="35" t="s">
        <v>256</v>
      </c>
      <c r="S77" s="45" t="s">
        <v>88</v>
      </c>
      <c r="T77" s="45" t="s">
        <v>89</v>
      </c>
      <c r="U77" s="46" t="s">
        <v>90</v>
      </c>
      <c r="V77" s="47">
        <v>26.5</v>
      </c>
      <c r="W77" s="48">
        <v>0</v>
      </c>
      <c r="X77" s="48">
        <v>0</v>
      </c>
      <c r="Y77" s="49">
        <f t="shared" si="38"/>
        <v>26.5</v>
      </c>
      <c r="Z77" s="50"/>
      <c r="AA77" s="51"/>
      <c r="AB77" s="52">
        <f t="shared" si="39"/>
        <v>397.5</v>
      </c>
      <c r="AC77" s="51"/>
      <c r="AD77" s="51"/>
      <c r="AE77" s="53">
        <v>15525</v>
      </c>
      <c r="AF77" s="54">
        <f t="shared" si="40"/>
        <v>776.25</v>
      </c>
      <c r="AG77" s="53">
        <v>0</v>
      </c>
      <c r="AH77" s="53">
        <v>0</v>
      </c>
      <c r="AI77" s="55">
        <f t="shared" si="34"/>
        <v>1293.2325000000001</v>
      </c>
      <c r="AJ77" s="55">
        <f t="shared" si="58"/>
        <v>776.25</v>
      </c>
      <c r="AK77" s="50">
        <f t="shared" si="59"/>
        <v>18370.732499999998</v>
      </c>
      <c r="AL77" s="50">
        <v>1500</v>
      </c>
      <c r="AM77" s="50">
        <v>1950</v>
      </c>
      <c r="AN77" s="50">
        <f t="shared" si="60"/>
        <v>555.01875000000007</v>
      </c>
      <c r="AO77" s="50">
        <v>300</v>
      </c>
      <c r="AP77" s="50">
        <f t="shared" si="61"/>
        <v>1482.3025875000001</v>
      </c>
      <c r="AQ77" s="50">
        <f t="shared" si="62"/>
        <v>24158.053837499996</v>
      </c>
      <c r="AR77" s="52">
        <f t="shared" si="41"/>
        <v>894.74273472222205</v>
      </c>
      <c r="AS77" s="52">
        <f t="shared" si="42"/>
        <v>75.46875</v>
      </c>
      <c r="AT77" s="52">
        <f t="shared" si="43"/>
        <v>83.375988281250002</v>
      </c>
      <c r="AU77" s="50">
        <f t="shared" si="44"/>
        <v>15237.5</v>
      </c>
      <c r="AV77" s="50">
        <f t="shared" si="45"/>
        <v>761.875</v>
      </c>
      <c r="AW77" s="50">
        <f t="shared" si="46"/>
        <v>0</v>
      </c>
      <c r="AX77" s="50">
        <f t="shared" si="47"/>
        <v>0</v>
      </c>
      <c r="AY77" s="50">
        <f t="shared" si="48"/>
        <v>1269.2837500000001</v>
      </c>
      <c r="AZ77" s="50">
        <f t="shared" si="63"/>
        <v>761.875</v>
      </c>
      <c r="BA77" s="56">
        <f t="shared" si="49"/>
        <v>1472</v>
      </c>
      <c r="BB77" s="50">
        <f t="shared" si="50"/>
        <v>0</v>
      </c>
      <c r="BC77" s="50">
        <f t="shared" si="51"/>
        <v>0</v>
      </c>
      <c r="BD77" s="50">
        <f t="shared" si="64"/>
        <v>19502.533749999999</v>
      </c>
      <c r="BE77" s="57">
        <f t="shared" si="52"/>
        <v>1767</v>
      </c>
      <c r="BF77" s="50">
        <f t="shared" si="65"/>
        <v>120</v>
      </c>
      <c r="BG77" s="58">
        <f t="shared" si="66"/>
        <v>200</v>
      </c>
      <c r="BH77" s="55">
        <f t="shared" ref="BH77:BI92" si="70">AC77</f>
        <v>0</v>
      </c>
      <c r="BI77" s="55">
        <f t="shared" si="70"/>
        <v>0</v>
      </c>
      <c r="BJ77" s="55">
        <f t="shared" si="53"/>
        <v>397.5</v>
      </c>
      <c r="BK77" s="59">
        <v>25</v>
      </c>
      <c r="BL77" s="55">
        <f t="shared" si="54"/>
        <v>2509.5</v>
      </c>
      <c r="BM77" s="61">
        <f t="shared" si="55"/>
        <v>16993</v>
      </c>
      <c r="BN77" s="57">
        <f t="shared" si="56"/>
        <v>1914</v>
      </c>
      <c r="BO77" s="55">
        <f t="shared" si="67"/>
        <v>520</v>
      </c>
      <c r="BP77" s="55">
        <v>75</v>
      </c>
      <c r="BQ77" s="55">
        <v>300</v>
      </c>
      <c r="BR77" s="55">
        <f t="shared" si="68"/>
        <v>1459</v>
      </c>
      <c r="BS77" s="50">
        <f t="shared" si="57"/>
        <v>23770.533749999999</v>
      </c>
    </row>
    <row r="78" spans="1:71" s="62" customFormat="1" ht="15.75" x14ac:dyDescent="0.25">
      <c r="A78" s="31">
        <v>70</v>
      </c>
      <c r="B78" s="32"/>
      <c r="C78" s="33" t="s">
        <v>608</v>
      </c>
      <c r="D78" s="34" t="s">
        <v>609</v>
      </c>
      <c r="E78" s="75" t="s">
        <v>610</v>
      </c>
      <c r="F78" s="35" t="s">
        <v>412</v>
      </c>
      <c r="G78" s="76" t="s">
        <v>199</v>
      </c>
      <c r="H78" s="44" t="s">
        <v>611</v>
      </c>
      <c r="I78" s="38" t="s">
        <v>612</v>
      </c>
      <c r="J78" s="74">
        <v>545008061366</v>
      </c>
      <c r="K78" s="40" t="s">
        <v>393</v>
      </c>
      <c r="L78" s="41" t="s">
        <v>613</v>
      </c>
      <c r="M78" s="35" t="s">
        <v>395</v>
      </c>
      <c r="N78" s="77" t="s">
        <v>614</v>
      </c>
      <c r="O78" s="43">
        <v>2504996724</v>
      </c>
      <c r="P78" s="44">
        <v>9673834029</v>
      </c>
      <c r="Q78" s="40"/>
      <c r="R78" s="35" t="s">
        <v>475</v>
      </c>
      <c r="S78" s="45" t="s">
        <v>88</v>
      </c>
      <c r="T78" s="45" t="s">
        <v>89</v>
      </c>
      <c r="U78" s="46" t="s">
        <v>90</v>
      </c>
      <c r="V78" s="65">
        <v>27</v>
      </c>
      <c r="W78" s="48">
        <v>0</v>
      </c>
      <c r="X78" s="48">
        <v>0</v>
      </c>
      <c r="Y78" s="49">
        <f t="shared" si="38"/>
        <v>27</v>
      </c>
      <c r="Z78" s="50"/>
      <c r="AA78" s="51"/>
      <c r="AB78" s="52">
        <f t="shared" si="39"/>
        <v>405</v>
      </c>
      <c r="AC78" s="51"/>
      <c r="AD78" s="51"/>
      <c r="AE78" s="53">
        <v>15525</v>
      </c>
      <c r="AF78" s="54">
        <f t="shared" si="40"/>
        <v>776.25</v>
      </c>
      <c r="AG78" s="53">
        <v>0</v>
      </c>
      <c r="AH78" s="53">
        <v>0</v>
      </c>
      <c r="AI78" s="55">
        <f t="shared" si="34"/>
        <v>1293.2325000000001</v>
      </c>
      <c r="AJ78" s="55">
        <f t="shared" si="58"/>
        <v>776.25</v>
      </c>
      <c r="AK78" s="50">
        <f t="shared" si="59"/>
        <v>18370.732499999998</v>
      </c>
      <c r="AL78" s="50">
        <v>1500</v>
      </c>
      <c r="AM78" s="50">
        <v>1950</v>
      </c>
      <c r="AN78" s="50">
        <f t="shared" si="60"/>
        <v>555.01875000000007</v>
      </c>
      <c r="AO78" s="50">
        <v>300</v>
      </c>
      <c r="AP78" s="50">
        <f t="shared" si="61"/>
        <v>1482.3025875000001</v>
      </c>
      <c r="AQ78" s="50">
        <f t="shared" si="62"/>
        <v>24158.053837499996</v>
      </c>
      <c r="AR78" s="52">
        <f t="shared" si="41"/>
        <v>894.74273472222205</v>
      </c>
      <c r="AS78" s="52">
        <f t="shared" si="42"/>
        <v>75.46875</v>
      </c>
      <c r="AT78" s="52">
        <f t="shared" si="43"/>
        <v>83.375988281250002</v>
      </c>
      <c r="AU78" s="50">
        <f t="shared" si="44"/>
        <v>15525</v>
      </c>
      <c r="AV78" s="50">
        <f t="shared" si="45"/>
        <v>776.25</v>
      </c>
      <c r="AW78" s="50">
        <f t="shared" si="46"/>
        <v>0</v>
      </c>
      <c r="AX78" s="50">
        <f t="shared" si="47"/>
        <v>0</v>
      </c>
      <c r="AY78" s="50">
        <f t="shared" si="48"/>
        <v>1293.2325000000001</v>
      </c>
      <c r="AZ78" s="50">
        <f t="shared" si="63"/>
        <v>776.25</v>
      </c>
      <c r="BA78" s="56">
        <f t="shared" si="49"/>
        <v>1500</v>
      </c>
      <c r="BB78" s="50">
        <f t="shared" si="50"/>
        <v>0</v>
      </c>
      <c r="BC78" s="50">
        <f t="shared" si="51"/>
        <v>0</v>
      </c>
      <c r="BD78" s="50">
        <f t="shared" si="64"/>
        <v>19870.732499999998</v>
      </c>
      <c r="BE78" s="57">
        <f t="shared" si="52"/>
        <v>1800</v>
      </c>
      <c r="BF78" s="50">
        <f t="shared" si="65"/>
        <v>123</v>
      </c>
      <c r="BG78" s="58">
        <f t="shared" si="66"/>
        <v>200</v>
      </c>
      <c r="BH78" s="55">
        <f t="shared" si="70"/>
        <v>0</v>
      </c>
      <c r="BI78" s="55">
        <f t="shared" si="70"/>
        <v>0</v>
      </c>
      <c r="BJ78" s="55">
        <f t="shared" si="53"/>
        <v>405</v>
      </c>
      <c r="BK78" s="59">
        <v>25</v>
      </c>
      <c r="BL78" s="55">
        <f t="shared" si="54"/>
        <v>2553</v>
      </c>
      <c r="BM78" s="61">
        <f t="shared" si="55"/>
        <v>17318</v>
      </c>
      <c r="BN78" s="57">
        <f t="shared" si="56"/>
        <v>1950</v>
      </c>
      <c r="BO78" s="55">
        <f t="shared" si="67"/>
        <v>530</v>
      </c>
      <c r="BP78" s="55">
        <v>75</v>
      </c>
      <c r="BQ78" s="55">
        <v>300</v>
      </c>
      <c r="BR78" s="55">
        <f t="shared" si="68"/>
        <v>1486</v>
      </c>
      <c r="BS78" s="50">
        <f t="shared" si="57"/>
        <v>24211.732499999998</v>
      </c>
    </row>
    <row r="79" spans="1:71" s="62" customFormat="1" ht="15.75" x14ac:dyDescent="0.25">
      <c r="A79" s="31">
        <v>71</v>
      </c>
      <c r="B79" s="32"/>
      <c r="C79" s="33" t="s">
        <v>615</v>
      </c>
      <c r="D79" s="34" t="s">
        <v>616</v>
      </c>
      <c r="E79" s="35" t="s">
        <v>617</v>
      </c>
      <c r="F79" s="35" t="s">
        <v>78</v>
      </c>
      <c r="G79" s="76" t="s">
        <v>199</v>
      </c>
      <c r="H79" s="44" t="s">
        <v>618</v>
      </c>
      <c r="I79" s="38" t="s">
        <v>619</v>
      </c>
      <c r="J79" s="74">
        <v>313798125940</v>
      </c>
      <c r="K79" s="40" t="s">
        <v>82</v>
      </c>
      <c r="L79" s="41" t="s">
        <v>620</v>
      </c>
      <c r="M79" s="35" t="s">
        <v>84</v>
      </c>
      <c r="N79" s="77" t="s">
        <v>621</v>
      </c>
      <c r="O79" s="43">
        <v>2504996579</v>
      </c>
      <c r="P79" s="44">
        <v>7447890056</v>
      </c>
      <c r="Q79" s="40"/>
      <c r="R79" s="35" t="s">
        <v>622</v>
      </c>
      <c r="S79" s="45" t="s">
        <v>88</v>
      </c>
      <c r="T79" s="45" t="s">
        <v>89</v>
      </c>
      <c r="U79" s="46" t="s">
        <v>90</v>
      </c>
      <c r="V79" s="47">
        <v>27</v>
      </c>
      <c r="W79" s="48">
        <v>0</v>
      </c>
      <c r="X79" s="48">
        <v>0</v>
      </c>
      <c r="Y79" s="49">
        <f t="shared" si="38"/>
        <v>27</v>
      </c>
      <c r="Z79" s="50"/>
      <c r="AA79" s="51"/>
      <c r="AB79" s="52">
        <f t="shared" si="39"/>
        <v>405</v>
      </c>
      <c r="AC79" s="51"/>
      <c r="AD79" s="51"/>
      <c r="AE79" s="53">
        <v>15525</v>
      </c>
      <c r="AF79" s="54">
        <f t="shared" si="40"/>
        <v>776.25</v>
      </c>
      <c r="AG79" s="53">
        <v>0</v>
      </c>
      <c r="AH79" s="53">
        <v>0</v>
      </c>
      <c r="AI79" s="55">
        <f t="shared" si="34"/>
        <v>1293.2325000000001</v>
      </c>
      <c r="AJ79" s="55">
        <f t="shared" si="58"/>
        <v>776.25</v>
      </c>
      <c r="AK79" s="50">
        <f t="shared" si="59"/>
        <v>18370.732499999998</v>
      </c>
      <c r="AL79" s="50">
        <v>1500</v>
      </c>
      <c r="AM79" s="50">
        <v>1950</v>
      </c>
      <c r="AN79" s="50">
        <f t="shared" si="60"/>
        <v>555.01875000000007</v>
      </c>
      <c r="AO79" s="50">
        <v>300</v>
      </c>
      <c r="AP79" s="50">
        <f t="shared" si="61"/>
        <v>1482.3025875000001</v>
      </c>
      <c r="AQ79" s="50">
        <f t="shared" si="62"/>
        <v>24158.053837499996</v>
      </c>
      <c r="AR79" s="52">
        <f t="shared" si="41"/>
        <v>894.74273472222205</v>
      </c>
      <c r="AS79" s="52">
        <f t="shared" si="42"/>
        <v>75.46875</v>
      </c>
      <c r="AT79" s="52">
        <f t="shared" si="43"/>
        <v>83.375988281250002</v>
      </c>
      <c r="AU79" s="50">
        <f t="shared" si="44"/>
        <v>15525</v>
      </c>
      <c r="AV79" s="50">
        <f t="shared" si="45"/>
        <v>776.25</v>
      </c>
      <c r="AW79" s="50">
        <f t="shared" si="46"/>
        <v>0</v>
      </c>
      <c r="AX79" s="50">
        <f t="shared" si="47"/>
        <v>0</v>
      </c>
      <c r="AY79" s="50">
        <f t="shared" si="48"/>
        <v>1293.2325000000001</v>
      </c>
      <c r="AZ79" s="50">
        <f t="shared" si="63"/>
        <v>776.25</v>
      </c>
      <c r="BA79" s="56">
        <f t="shared" si="49"/>
        <v>1500</v>
      </c>
      <c r="BB79" s="50">
        <f t="shared" si="50"/>
        <v>0</v>
      </c>
      <c r="BC79" s="50">
        <f t="shared" si="51"/>
        <v>0</v>
      </c>
      <c r="BD79" s="50">
        <f t="shared" si="64"/>
        <v>19870.732499999998</v>
      </c>
      <c r="BE79" s="57">
        <f t="shared" si="52"/>
        <v>1800</v>
      </c>
      <c r="BF79" s="50">
        <f t="shared" si="65"/>
        <v>123</v>
      </c>
      <c r="BG79" s="58">
        <f t="shared" si="66"/>
        <v>200</v>
      </c>
      <c r="BH79" s="55">
        <f t="shared" si="70"/>
        <v>0</v>
      </c>
      <c r="BI79" s="55">
        <f t="shared" si="70"/>
        <v>0</v>
      </c>
      <c r="BJ79" s="55">
        <f t="shared" si="53"/>
        <v>405</v>
      </c>
      <c r="BK79" s="59">
        <v>25</v>
      </c>
      <c r="BL79" s="55">
        <f t="shared" si="54"/>
        <v>2553</v>
      </c>
      <c r="BM79" s="61">
        <f t="shared" si="55"/>
        <v>17318</v>
      </c>
      <c r="BN79" s="57">
        <f t="shared" si="56"/>
        <v>1950</v>
      </c>
      <c r="BO79" s="55">
        <f t="shared" si="67"/>
        <v>530</v>
      </c>
      <c r="BP79" s="55">
        <v>75</v>
      </c>
      <c r="BQ79" s="55">
        <v>300</v>
      </c>
      <c r="BR79" s="55">
        <f t="shared" si="68"/>
        <v>1486</v>
      </c>
      <c r="BS79" s="50">
        <f t="shared" si="57"/>
        <v>24211.732499999998</v>
      </c>
    </row>
    <row r="80" spans="1:71" s="62" customFormat="1" ht="15.75" x14ac:dyDescent="0.25">
      <c r="A80" s="31">
        <v>72</v>
      </c>
      <c r="B80" s="32"/>
      <c r="C80" s="33" t="s">
        <v>623</v>
      </c>
      <c r="D80" s="34" t="s">
        <v>624</v>
      </c>
      <c r="E80" s="35" t="s">
        <v>617</v>
      </c>
      <c r="F80" s="35" t="s">
        <v>412</v>
      </c>
      <c r="G80" s="76" t="s">
        <v>199</v>
      </c>
      <c r="H80" s="44" t="s">
        <v>625</v>
      </c>
      <c r="I80" s="38" t="s">
        <v>619</v>
      </c>
      <c r="J80" s="74">
        <v>344289481220</v>
      </c>
      <c r="K80" s="40" t="s">
        <v>393</v>
      </c>
      <c r="L80" s="41" t="s">
        <v>626</v>
      </c>
      <c r="M80" s="35" t="s">
        <v>627</v>
      </c>
      <c r="N80" s="77" t="s">
        <v>628</v>
      </c>
      <c r="O80" s="43">
        <v>2505011212</v>
      </c>
      <c r="P80" s="44">
        <v>7447890056</v>
      </c>
      <c r="Q80" s="40"/>
      <c r="R80" s="35" t="s">
        <v>629</v>
      </c>
      <c r="S80" s="45" t="s">
        <v>88</v>
      </c>
      <c r="T80" s="45" t="s">
        <v>89</v>
      </c>
      <c r="U80" s="46" t="s">
        <v>90</v>
      </c>
      <c r="V80" s="47">
        <v>27</v>
      </c>
      <c r="W80" s="48">
        <v>0</v>
      </c>
      <c r="X80" s="48">
        <v>0</v>
      </c>
      <c r="Y80" s="49">
        <f t="shared" si="38"/>
        <v>27</v>
      </c>
      <c r="Z80" s="50"/>
      <c r="AA80" s="51"/>
      <c r="AB80" s="52">
        <f t="shared" si="39"/>
        <v>405</v>
      </c>
      <c r="AC80" s="51"/>
      <c r="AD80" s="51"/>
      <c r="AE80" s="53">
        <v>15525</v>
      </c>
      <c r="AF80" s="54">
        <f t="shared" si="40"/>
        <v>776.25</v>
      </c>
      <c r="AG80" s="53">
        <v>0</v>
      </c>
      <c r="AH80" s="53">
        <v>0</v>
      </c>
      <c r="AI80" s="55">
        <f t="shared" si="34"/>
        <v>1293.2325000000001</v>
      </c>
      <c r="AJ80" s="55">
        <f t="shared" si="58"/>
        <v>776.25</v>
      </c>
      <c r="AK80" s="50">
        <f t="shared" si="59"/>
        <v>18370.732499999998</v>
      </c>
      <c r="AL80" s="50">
        <v>1500</v>
      </c>
      <c r="AM80" s="50">
        <v>1950</v>
      </c>
      <c r="AN80" s="50">
        <f t="shared" si="60"/>
        <v>555.01875000000007</v>
      </c>
      <c r="AO80" s="50">
        <v>300</v>
      </c>
      <c r="AP80" s="50">
        <f t="shared" si="61"/>
        <v>1482.3025875000001</v>
      </c>
      <c r="AQ80" s="50">
        <f t="shared" si="62"/>
        <v>24158.053837499996</v>
      </c>
      <c r="AR80" s="52">
        <f t="shared" si="41"/>
        <v>894.74273472222205</v>
      </c>
      <c r="AS80" s="52">
        <f t="shared" si="42"/>
        <v>75.46875</v>
      </c>
      <c r="AT80" s="52">
        <f t="shared" si="43"/>
        <v>83.375988281250002</v>
      </c>
      <c r="AU80" s="50">
        <f t="shared" si="44"/>
        <v>15525</v>
      </c>
      <c r="AV80" s="50">
        <f t="shared" si="45"/>
        <v>776.25</v>
      </c>
      <c r="AW80" s="50">
        <f t="shared" si="46"/>
        <v>0</v>
      </c>
      <c r="AX80" s="50">
        <f t="shared" si="47"/>
        <v>0</v>
      </c>
      <c r="AY80" s="50">
        <f t="shared" si="48"/>
        <v>1293.2325000000001</v>
      </c>
      <c r="AZ80" s="50">
        <f t="shared" si="63"/>
        <v>776.25</v>
      </c>
      <c r="BA80" s="56">
        <f t="shared" si="49"/>
        <v>1500</v>
      </c>
      <c r="BB80" s="50">
        <f t="shared" si="50"/>
        <v>0</v>
      </c>
      <c r="BC80" s="50">
        <f t="shared" si="51"/>
        <v>0</v>
      </c>
      <c r="BD80" s="50">
        <f t="shared" si="64"/>
        <v>19870.732499999998</v>
      </c>
      <c r="BE80" s="57">
        <f t="shared" si="52"/>
        <v>1800</v>
      </c>
      <c r="BF80" s="50">
        <f t="shared" si="65"/>
        <v>123</v>
      </c>
      <c r="BG80" s="58">
        <f t="shared" si="66"/>
        <v>200</v>
      </c>
      <c r="BH80" s="55">
        <f t="shared" si="70"/>
        <v>0</v>
      </c>
      <c r="BI80" s="55">
        <f t="shared" si="70"/>
        <v>0</v>
      </c>
      <c r="BJ80" s="55">
        <f t="shared" si="53"/>
        <v>405</v>
      </c>
      <c r="BK80" s="59">
        <v>25</v>
      </c>
      <c r="BL80" s="55">
        <f t="shared" si="54"/>
        <v>2553</v>
      </c>
      <c r="BM80" s="61">
        <f t="shared" si="55"/>
        <v>17318</v>
      </c>
      <c r="BN80" s="57">
        <f t="shared" si="56"/>
        <v>1950</v>
      </c>
      <c r="BO80" s="55">
        <f t="shared" si="67"/>
        <v>530</v>
      </c>
      <c r="BP80" s="55">
        <v>75</v>
      </c>
      <c r="BQ80" s="55">
        <v>300</v>
      </c>
      <c r="BR80" s="55">
        <f t="shared" si="68"/>
        <v>1486</v>
      </c>
      <c r="BS80" s="50">
        <f t="shared" si="57"/>
        <v>24211.732499999998</v>
      </c>
    </row>
    <row r="81" spans="1:71" s="62" customFormat="1" ht="15.75" x14ac:dyDescent="0.25">
      <c r="A81" s="31">
        <v>73</v>
      </c>
      <c r="B81" s="32"/>
      <c r="C81" s="33" t="s">
        <v>630</v>
      </c>
      <c r="D81" s="78" t="s">
        <v>631</v>
      </c>
      <c r="E81" s="79" t="s">
        <v>632</v>
      </c>
      <c r="F81" s="35" t="s">
        <v>412</v>
      </c>
      <c r="G81" s="80" t="s">
        <v>633</v>
      </c>
      <c r="H81" s="35" t="s">
        <v>634</v>
      </c>
      <c r="I81" s="38" t="s">
        <v>635</v>
      </c>
      <c r="J81" s="81">
        <v>884307443782</v>
      </c>
      <c r="K81" s="35" t="s">
        <v>393</v>
      </c>
      <c r="L81" s="82" t="s">
        <v>636</v>
      </c>
      <c r="M81" s="35" t="s">
        <v>637</v>
      </c>
      <c r="N81" s="77" t="s">
        <v>638</v>
      </c>
      <c r="O81" s="43">
        <v>2503231668</v>
      </c>
      <c r="P81" s="35">
        <v>8806325792</v>
      </c>
      <c r="Q81" s="40"/>
      <c r="R81" s="40" t="s">
        <v>639</v>
      </c>
      <c r="S81" s="40" t="s">
        <v>640</v>
      </c>
      <c r="T81" s="45" t="s">
        <v>641</v>
      </c>
      <c r="U81" s="46" t="s">
        <v>90</v>
      </c>
      <c r="V81" s="47">
        <v>27</v>
      </c>
      <c r="W81" s="48">
        <v>0</v>
      </c>
      <c r="X81" s="48">
        <v>0</v>
      </c>
      <c r="Y81" s="49">
        <f t="shared" si="38"/>
        <v>27</v>
      </c>
      <c r="Z81" s="50"/>
      <c r="AA81" s="51"/>
      <c r="AB81" s="52">
        <f t="shared" si="39"/>
        <v>405</v>
      </c>
      <c r="AC81" s="51"/>
      <c r="AD81" s="51"/>
      <c r="AE81" s="53">
        <v>15525</v>
      </c>
      <c r="AF81" s="54">
        <f t="shared" si="40"/>
        <v>776.25</v>
      </c>
      <c r="AG81" s="53">
        <v>1000</v>
      </c>
      <c r="AH81" s="53">
        <v>0</v>
      </c>
      <c r="AI81" s="55">
        <f t="shared" si="34"/>
        <v>1293.2325000000001</v>
      </c>
      <c r="AJ81" s="55">
        <f t="shared" si="58"/>
        <v>776.25</v>
      </c>
      <c r="AK81" s="50">
        <f t="shared" si="59"/>
        <v>19370.732499999998</v>
      </c>
      <c r="AL81" s="50">
        <v>1500</v>
      </c>
      <c r="AM81" s="50">
        <v>1950</v>
      </c>
      <c r="AN81" s="50">
        <f t="shared" si="60"/>
        <v>587.51875000000007</v>
      </c>
      <c r="AO81" s="50">
        <v>300</v>
      </c>
      <c r="AP81" s="50">
        <f t="shared" si="61"/>
        <v>1554.5775874999999</v>
      </c>
      <c r="AQ81" s="50">
        <f t="shared" si="62"/>
        <v>25262.828837499997</v>
      </c>
      <c r="AR81" s="52">
        <f t="shared" si="41"/>
        <v>935.66032731481471</v>
      </c>
      <c r="AS81" s="52">
        <f t="shared" si="42"/>
        <v>80.098379629629633</v>
      </c>
      <c r="AT81" s="52">
        <f t="shared" si="43"/>
        <v>88.490687355324084</v>
      </c>
      <c r="AU81" s="50">
        <f t="shared" si="44"/>
        <v>15525</v>
      </c>
      <c r="AV81" s="50">
        <f t="shared" si="45"/>
        <v>776.25</v>
      </c>
      <c r="AW81" s="50">
        <f t="shared" si="46"/>
        <v>1000</v>
      </c>
      <c r="AX81" s="50">
        <f t="shared" si="47"/>
        <v>0</v>
      </c>
      <c r="AY81" s="50">
        <f t="shared" si="48"/>
        <v>1293.2325000000001</v>
      </c>
      <c r="AZ81" s="50">
        <f t="shared" si="63"/>
        <v>776.25</v>
      </c>
      <c r="BA81" s="56">
        <f t="shared" si="49"/>
        <v>1500</v>
      </c>
      <c r="BB81" s="50">
        <f t="shared" si="50"/>
        <v>0</v>
      </c>
      <c r="BC81" s="50">
        <f t="shared" si="51"/>
        <v>0</v>
      </c>
      <c r="BD81" s="50">
        <f t="shared" si="64"/>
        <v>20870.732499999998</v>
      </c>
      <c r="BE81" s="57">
        <f t="shared" si="52"/>
        <v>1800</v>
      </c>
      <c r="BF81" s="50">
        <f t="shared" si="65"/>
        <v>130</v>
      </c>
      <c r="BG81" s="58">
        <f t="shared" si="66"/>
        <v>200</v>
      </c>
      <c r="BH81" s="55">
        <f t="shared" si="70"/>
        <v>0</v>
      </c>
      <c r="BI81" s="55">
        <f t="shared" si="70"/>
        <v>0</v>
      </c>
      <c r="BJ81" s="55">
        <f t="shared" si="53"/>
        <v>405</v>
      </c>
      <c r="BK81" s="59">
        <v>25</v>
      </c>
      <c r="BL81" s="55">
        <f t="shared" si="54"/>
        <v>2560</v>
      </c>
      <c r="BM81" s="61">
        <f t="shared" si="55"/>
        <v>18311</v>
      </c>
      <c r="BN81" s="57">
        <f t="shared" si="56"/>
        <v>1950</v>
      </c>
      <c r="BO81" s="55">
        <f t="shared" si="67"/>
        <v>562</v>
      </c>
      <c r="BP81" s="55">
        <v>75</v>
      </c>
      <c r="BQ81" s="55">
        <v>300</v>
      </c>
      <c r="BR81" s="55">
        <f t="shared" si="68"/>
        <v>1558</v>
      </c>
      <c r="BS81" s="50">
        <f t="shared" si="57"/>
        <v>25315.732499999998</v>
      </c>
    </row>
    <row r="82" spans="1:71" s="62" customFormat="1" ht="15.75" x14ac:dyDescent="0.25">
      <c r="A82" s="31">
        <v>74</v>
      </c>
      <c r="B82" s="32"/>
      <c r="C82" s="33" t="s">
        <v>642</v>
      </c>
      <c r="D82" s="78" t="s">
        <v>643</v>
      </c>
      <c r="E82" s="79" t="s">
        <v>644</v>
      </c>
      <c r="F82" s="35" t="s">
        <v>412</v>
      </c>
      <c r="G82" s="80" t="s">
        <v>645</v>
      </c>
      <c r="H82" s="35" t="s">
        <v>646</v>
      </c>
      <c r="I82" s="38" t="s">
        <v>647</v>
      </c>
      <c r="J82" s="81">
        <v>601260852239</v>
      </c>
      <c r="K82" s="35" t="s">
        <v>648</v>
      </c>
      <c r="L82" s="82" t="s">
        <v>649</v>
      </c>
      <c r="M82" s="35" t="s">
        <v>650</v>
      </c>
      <c r="N82" s="77" t="s">
        <v>651</v>
      </c>
      <c r="O82" s="43">
        <v>2504996741</v>
      </c>
      <c r="P82" s="35">
        <v>9503390507</v>
      </c>
      <c r="Q82" s="40"/>
      <c r="R82" s="40" t="s">
        <v>475</v>
      </c>
      <c r="S82" s="40" t="s">
        <v>88</v>
      </c>
      <c r="T82" s="45" t="s">
        <v>89</v>
      </c>
      <c r="U82" s="46" t="s">
        <v>90</v>
      </c>
      <c r="V82" s="47">
        <v>27</v>
      </c>
      <c r="W82" s="48">
        <v>0</v>
      </c>
      <c r="X82" s="48">
        <v>0</v>
      </c>
      <c r="Y82" s="49">
        <f t="shared" si="38"/>
        <v>27</v>
      </c>
      <c r="Z82" s="50"/>
      <c r="AA82" s="51"/>
      <c r="AB82" s="52">
        <f t="shared" si="39"/>
        <v>405</v>
      </c>
      <c r="AC82" s="51"/>
      <c r="AD82" s="51"/>
      <c r="AE82" s="53">
        <v>15525</v>
      </c>
      <c r="AF82" s="54">
        <f t="shared" si="40"/>
        <v>776.25</v>
      </c>
      <c r="AG82" s="53">
        <v>0</v>
      </c>
      <c r="AH82" s="53">
        <v>0</v>
      </c>
      <c r="AI82" s="55">
        <f t="shared" si="34"/>
        <v>1293.2325000000001</v>
      </c>
      <c r="AJ82" s="55">
        <f t="shared" si="58"/>
        <v>776.25</v>
      </c>
      <c r="AK82" s="50">
        <f t="shared" si="59"/>
        <v>18370.732499999998</v>
      </c>
      <c r="AL82" s="50">
        <v>1500</v>
      </c>
      <c r="AM82" s="50">
        <v>1950</v>
      </c>
      <c r="AN82" s="50">
        <f t="shared" si="60"/>
        <v>555.01875000000007</v>
      </c>
      <c r="AO82" s="50">
        <v>300</v>
      </c>
      <c r="AP82" s="50">
        <f t="shared" si="61"/>
        <v>1482.3025875000001</v>
      </c>
      <c r="AQ82" s="50">
        <f t="shared" si="62"/>
        <v>24158.053837499996</v>
      </c>
      <c r="AR82" s="52">
        <f t="shared" si="41"/>
        <v>894.74273472222205</v>
      </c>
      <c r="AS82" s="52">
        <f t="shared" si="42"/>
        <v>75.46875</v>
      </c>
      <c r="AT82" s="52">
        <f t="shared" si="43"/>
        <v>83.375988281250002</v>
      </c>
      <c r="AU82" s="50">
        <f t="shared" si="44"/>
        <v>15525</v>
      </c>
      <c r="AV82" s="50">
        <f t="shared" si="45"/>
        <v>776.25</v>
      </c>
      <c r="AW82" s="50">
        <f t="shared" si="46"/>
        <v>0</v>
      </c>
      <c r="AX82" s="50">
        <f t="shared" si="47"/>
        <v>0</v>
      </c>
      <c r="AY82" s="50">
        <f t="shared" si="48"/>
        <v>1293.2325000000001</v>
      </c>
      <c r="AZ82" s="50">
        <f t="shared" si="63"/>
        <v>776.25</v>
      </c>
      <c r="BA82" s="56">
        <f t="shared" si="49"/>
        <v>1500</v>
      </c>
      <c r="BB82" s="50">
        <f t="shared" si="50"/>
        <v>0</v>
      </c>
      <c r="BC82" s="50">
        <f t="shared" si="51"/>
        <v>0</v>
      </c>
      <c r="BD82" s="50">
        <f t="shared" si="64"/>
        <v>19870.732499999998</v>
      </c>
      <c r="BE82" s="57">
        <f t="shared" si="52"/>
        <v>1800</v>
      </c>
      <c r="BF82" s="50">
        <f t="shared" si="65"/>
        <v>123</v>
      </c>
      <c r="BG82" s="58">
        <f t="shared" si="66"/>
        <v>200</v>
      </c>
      <c r="BH82" s="55">
        <f t="shared" si="70"/>
        <v>0</v>
      </c>
      <c r="BI82" s="55">
        <f t="shared" si="70"/>
        <v>0</v>
      </c>
      <c r="BJ82" s="55">
        <f t="shared" si="53"/>
        <v>405</v>
      </c>
      <c r="BK82" s="59">
        <v>25</v>
      </c>
      <c r="BL82" s="55">
        <f t="shared" si="54"/>
        <v>2553</v>
      </c>
      <c r="BM82" s="61">
        <f t="shared" si="55"/>
        <v>17318</v>
      </c>
      <c r="BN82" s="57">
        <f t="shared" si="56"/>
        <v>1950</v>
      </c>
      <c r="BO82" s="55">
        <f t="shared" si="67"/>
        <v>530</v>
      </c>
      <c r="BP82" s="55">
        <v>75</v>
      </c>
      <c r="BQ82" s="55">
        <v>300</v>
      </c>
      <c r="BR82" s="55">
        <f t="shared" si="68"/>
        <v>1486</v>
      </c>
      <c r="BS82" s="50">
        <f t="shared" si="57"/>
        <v>24211.732499999998</v>
      </c>
    </row>
    <row r="83" spans="1:71" s="62" customFormat="1" ht="15.75" x14ac:dyDescent="0.25">
      <c r="A83" s="31">
        <v>75</v>
      </c>
      <c r="B83" s="32"/>
      <c r="C83" s="33" t="s">
        <v>652</v>
      </c>
      <c r="D83" s="78" t="s">
        <v>653</v>
      </c>
      <c r="E83" s="79" t="s">
        <v>654</v>
      </c>
      <c r="F83" s="35" t="s">
        <v>412</v>
      </c>
      <c r="G83" s="80" t="s">
        <v>655</v>
      </c>
      <c r="H83" s="35" t="s">
        <v>656</v>
      </c>
      <c r="I83" s="38" t="s">
        <v>647</v>
      </c>
      <c r="J83" s="81">
        <v>844780266170</v>
      </c>
      <c r="K83" s="35" t="s">
        <v>657</v>
      </c>
      <c r="L83" s="81">
        <v>37348990351</v>
      </c>
      <c r="M83" s="35" t="s">
        <v>132</v>
      </c>
      <c r="N83" s="77" t="s">
        <v>658</v>
      </c>
      <c r="O83" s="43">
        <v>2504996761</v>
      </c>
      <c r="P83" s="35">
        <v>7264096730</v>
      </c>
      <c r="Q83" s="40"/>
      <c r="R83" s="40" t="s">
        <v>475</v>
      </c>
      <c r="S83" s="40" t="s">
        <v>88</v>
      </c>
      <c r="T83" s="45" t="s">
        <v>89</v>
      </c>
      <c r="U83" s="46" t="s">
        <v>90</v>
      </c>
      <c r="V83" s="47">
        <v>27</v>
      </c>
      <c r="W83" s="48">
        <v>0</v>
      </c>
      <c r="X83" s="48">
        <v>0</v>
      </c>
      <c r="Y83" s="49">
        <f t="shared" si="38"/>
        <v>27</v>
      </c>
      <c r="Z83" s="50"/>
      <c r="AA83" s="51"/>
      <c r="AB83" s="52">
        <f t="shared" si="39"/>
        <v>405</v>
      </c>
      <c r="AC83" s="51"/>
      <c r="AD83" s="51"/>
      <c r="AE83" s="53">
        <v>15525</v>
      </c>
      <c r="AF83" s="54">
        <f t="shared" si="40"/>
        <v>776.25</v>
      </c>
      <c r="AG83" s="53">
        <v>0</v>
      </c>
      <c r="AH83" s="53">
        <v>0</v>
      </c>
      <c r="AI83" s="55">
        <f t="shared" si="34"/>
        <v>1293.2325000000001</v>
      </c>
      <c r="AJ83" s="55">
        <f t="shared" si="58"/>
        <v>776.25</v>
      </c>
      <c r="AK83" s="50">
        <f t="shared" si="59"/>
        <v>18370.732499999998</v>
      </c>
      <c r="AL83" s="50">
        <v>1500</v>
      </c>
      <c r="AM83" s="50">
        <v>1950</v>
      </c>
      <c r="AN83" s="50">
        <f t="shared" si="60"/>
        <v>555.01875000000007</v>
      </c>
      <c r="AO83" s="50">
        <v>300</v>
      </c>
      <c r="AP83" s="50">
        <f t="shared" si="61"/>
        <v>1482.3025875000001</v>
      </c>
      <c r="AQ83" s="50">
        <f t="shared" si="62"/>
        <v>24158.053837499996</v>
      </c>
      <c r="AR83" s="52">
        <f t="shared" si="41"/>
        <v>894.74273472222205</v>
      </c>
      <c r="AS83" s="52">
        <f t="shared" si="42"/>
        <v>75.46875</v>
      </c>
      <c r="AT83" s="52">
        <f t="shared" si="43"/>
        <v>83.375988281250002</v>
      </c>
      <c r="AU83" s="50">
        <f t="shared" si="44"/>
        <v>15525</v>
      </c>
      <c r="AV83" s="50">
        <f t="shared" si="45"/>
        <v>776.25</v>
      </c>
      <c r="AW83" s="50">
        <f t="shared" si="46"/>
        <v>0</v>
      </c>
      <c r="AX83" s="50">
        <f t="shared" si="47"/>
        <v>0</v>
      </c>
      <c r="AY83" s="50">
        <f t="shared" si="48"/>
        <v>1293.2325000000001</v>
      </c>
      <c r="AZ83" s="50">
        <f t="shared" si="63"/>
        <v>776.25</v>
      </c>
      <c r="BA83" s="56">
        <f t="shared" si="49"/>
        <v>1500</v>
      </c>
      <c r="BB83" s="50">
        <f t="shared" si="50"/>
        <v>0</v>
      </c>
      <c r="BC83" s="50">
        <f t="shared" si="51"/>
        <v>0</v>
      </c>
      <c r="BD83" s="50">
        <f t="shared" si="64"/>
        <v>19870.732499999998</v>
      </c>
      <c r="BE83" s="57">
        <f t="shared" si="52"/>
        <v>1800</v>
      </c>
      <c r="BF83" s="50">
        <f t="shared" si="65"/>
        <v>123</v>
      </c>
      <c r="BG83" s="58">
        <f t="shared" si="66"/>
        <v>200</v>
      </c>
      <c r="BH83" s="55">
        <f t="shared" si="70"/>
        <v>0</v>
      </c>
      <c r="BI83" s="55">
        <f t="shared" si="70"/>
        <v>0</v>
      </c>
      <c r="BJ83" s="55">
        <f t="shared" si="53"/>
        <v>405</v>
      </c>
      <c r="BK83" s="59">
        <v>25</v>
      </c>
      <c r="BL83" s="55">
        <f t="shared" si="54"/>
        <v>2553</v>
      </c>
      <c r="BM83" s="61">
        <f t="shared" si="55"/>
        <v>17318</v>
      </c>
      <c r="BN83" s="57">
        <f t="shared" si="56"/>
        <v>1950</v>
      </c>
      <c r="BO83" s="55">
        <f t="shared" si="67"/>
        <v>530</v>
      </c>
      <c r="BP83" s="55">
        <v>75</v>
      </c>
      <c r="BQ83" s="55">
        <v>300</v>
      </c>
      <c r="BR83" s="55">
        <f t="shared" si="68"/>
        <v>1486</v>
      </c>
      <c r="BS83" s="50">
        <f t="shared" si="57"/>
        <v>24211.732499999998</v>
      </c>
    </row>
    <row r="84" spans="1:71" s="62" customFormat="1" ht="15.75" x14ac:dyDescent="0.25">
      <c r="A84" s="31">
        <v>76</v>
      </c>
      <c r="B84" s="32"/>
      <c r="C84" s="33" t="s">
        <v>659</v>
      </c>
      <c r="D84" s="78" t="s">
        <v>660</v>
      </c>
      <c r="E84" s="79" t="s">
        <v>661</v>
      </c>
      <c r="F84" s="35" t="s">
        <v>412</v>
      </c>
      <c r="G84" s="80" t="s">
        <v>662</v>
      </c>
      <c r="H84" s="35" t="s">
        <v>663</v>
      </c>
      <c r="I84" s="38" t="s">
        <v>664</v>
      </c>
      <c r="J84" s="81">
        <v>945406942088</v>
      </c>
      <c r="K84" s="35" t="s">
        <v>96</v>
      </c>
      <c r="L84" s="82" t="s">
        <v>665</v>
      </c>
      <c r="M84" s="35" t="s">
        <v>132</v>
      </c>
      <c r="N84" s="83" t="s">
        <v>666</v>
      </c>
      <c r="O84" s="43" t="s">
        <v>667</v>
      </c>
      <c r="P84" s="35">
        <v>9428790097</v>
      </c>
      <c r="Q84" s="40"/>
      <c r="R84" s="40" t="s">
        <v>319</v>
      </c>
      <c r="S84" s="40" t="s">
        <v>88</v>
      </c>
      <c r="T84" s="45" t="s">
        <v>89</v>
      </c>
      <c r="U84" s="46" t="s">
        <v>90</v>
      </c>
      <c r="V84" s="84">
        <v>26</v>
      </c>
      <c r="W84" s="48">
        <v>0</v>
      </c>
      <c r="X84" s="48">
        <v>0</v>
      </c>
      <c r="Y84" s="49">
        <f t="shared" si="38"/>
        <v>26</v>
      </c>
      <c r="Z84" s="50"/>
      <c r="AA84" s="51"/>
      <c r="AB84" s="52">
        <f t="shared" si="39"/>
        <v>390</v>
      </c>
      <c r="AC84" s="51"/>
      <c r="AD84" s="51"/>
      <c r="AE84" s="53">
        <v>15525</v>
      </c>
      <c r="AF84" s="54">
        <f t="shared" si="40"/>
        <v>776.25</v>
      </c>
      <c r="AG84" s="53">
        <v>0</v>
      </c>
      <c r="AH84" s="53">
        <v>0</v>
      </c>
      <c r="AI84" s="55">
        <f t="shared" si="34"/>
        <v>1293.2325000000001</v>
      </c>
      <c r="AJ84" s="55">
        <f t="shared" si="58"/>
        <v>776.25</v>
      </c>
      <c r="AK84" s="50">
        <f t="shared" si="59"/>
        <v>18370.732499999998</v>
      </c>
      <c r="AL84" s="50">
        <v>1500</v>
      </c>
      <c r="AM84" s="50">
        <v>1950</v>
      </c>
      <c r="AN84" s="50">
        <f t="shared" si="60"/>
        <v>555.01875000000007</v>
      </c>
      <c r="AO84" s="50">
        <v>300</v>
      </c>
      <c r="AP84" s="50">
        <f t="shared" si="61"/>
        <v>1482.3025875000001</v>
      </c>
      <c r="AQ84" s="50">
        <f t="shared" si="62"/>
        <v>24158.053837499996</v>
      </c>
      <c r="AR84" s="52">
        <f t="shared" si="41"/>
        <v>894.74273472222205</v>
      </c>
      <c r="AS84" s="52">
        <f t="shared" si="42"/>
        <v>75.46875</v>
      </c>
      <c r="AT84" s="52">
        <f t="shared" si="43"/>
        <v>83.375988281250002</v>
      </c>
      <c r="AU84" s="50">
        <f t="shared" si="44"/>
        <v>14950</v>
      </c>
      <c r="AV84" s="50">
        <f t="shared" si="45"/>
        <v>747.5</v>
      </c>
      <c r="AW84" s="50">
        <f t="shared" si="46"/>
        <v>0</v>
      </c>
      <c r="AX84" s="50">
        <f t="shared" si="47"/>
        <v>0</v>
      </c>
      <c r="AY84" s="50">
        <f t="shared" si="48"/>
        <v>1245.335</v>
      </c>
      <c r="AZ84" s="50">
        <f t="shared" si="63"/>
        <v>747.5</v>
      </c>
      <c r="BA84" s="56">
        <f t="shared" si="49"/>
        <v>1444</v>
      </c>
      <c r="BB84" s="50">
        <f t="shared" si="50"/>
        <v>0</v>
      </c>
      <c r="BC84" s="50">
        <f t="shared" si="51"/>
        <v>0</v>
      </c>
      <c r="BD84" s="50">
        <f t="shared" si="64"/>
        <v>19134.334999999999</v>
      </c>
      <c r="BE84" s="57">
        <f t="shared" si="52"/>
        <v>1733</v>
      </c>
      <c r="BF84" s="50">
        <f t="shared" si="65"/>
        <v>118</v>
      </c>
      <c r="BG84" s="58">
        <f t="shared" si="66"/>
        <v>200</v>
      </c>
      <c r="BH84" s="55">
        <f t="shared" si="70"/>
        <v>0</v>
      </c>
      <c r="BI84" s="55">
        <f t="shared" si="70"/>
        <v>0</v>
      </c>
      <c r="BJ84" s="55">
        <f t="shared" si="53"/>
        <v>390</v>
      </c>
      <c r="BK84" s="59">
        <v>25</v>
      </c>
      <c r="BL84" s="55">
        <f t="shared" si="54"/>
        <v>2466</v>
      </c>
      <c r="BM84" s="61">
        <f t="shared" si="55"/>
        <v>16668</v>
      </c>
      <c r="BN84" s="57">
        <f t="shared" si="56"/>
        <v>1878</v>
      </c>
      <c r="BO84" s="55">
        <f t="shared" si="67"/>
        <v>510</v>
      </c>
      <c r="BP84" s="55">
        <v>75</v>
      </c>
      <c r="BQ84" s="55">
        <v>300</v>
      </c>
      <c r="BR84" s="55">
        <f t="shared" si="68"/>
        <v>1432</v>
      </c>
      <c r="BS84" s="50">
        <f t="shared" si="57"/>
        <v>23329.334999999999</v>
      </c>
    </row>
    <row r="85" spans="1:71" s="62" customFormat="1" ht="15.75" x14ac:dyDescent="0.25">
      <c r="A85" s="31">
        <v>77</v>
      </c>
      <c r="B85" s="32"/>
      <c r="C85" s="33" t="s">
        <v>668</v>
      </c>
      <c r="D85" s="78" t="s">
        <v>669</v>
      </c>
      <c r="E85" s="79" t="s">
        <v>670</v>
      </c>
      <c r="F85" s="35" t="s">
        <v>412</v>
      </c>
      <c r="G85" s="80" t="s">
        <v>671</v>
      </c>
      <c r="H85" s="35" t="s">
        <v>672</v>
      </c>
      <c r="I85" s="38" t="s">
        <v>664</v>
      </c>
      <c r="J85" s="81">
        <v>864456680228</v>
      </c>
      <c r="K85" s="35" t="s">
        <v>96</v>
      </c>
      <c r="L85" s="81">
        <v>36550166745</v>
      </c>
      <c r="M85" s="35" t="s">
        <v>132</v>
      </c>
      <c r="N85" s="83" t="s">
        <v>673</v>
      </c>
      <c r="O85" s="43">
        <v>2504997146</v>
      </c>
      <c r="P85" s="35">
        <v>7378326029</v>
      </c>
      <c r="Q85" s="40"/>
      <c r="R85" s="40" t="s">
        <v>622</v>
      </c>
      <c r="S85" s="40" t="s">
        <v>88</v>
      </c>
      <c r="T85" s="45" t="s">
        <v>89</v>
      </c>
      <c r="U85" s="46" t="s">
        <v>90</v>
      </c>
      <c r="V85" s="47">
        <v>19</v>
      </c>
      <c r="W85" s="48">
        <v>0</v>
      </c>
      <c r="X85" s="48">
        <v>0</v>
      </c>
      <c r="Y85" s="49">
        <f t="shared" si="38"/>
        <v>19</v>
      </c>
      <c r="Z85" s="50"/>
      <c r="AA85" s="51"/>
      <c r="AB85" s="52">
        <f t="shared" si="39"/>
        <v>285</v>
      </c>
      <c r="AC85" s="51"/>
      <c r="AD85" s="51"/>
      <c r="AE85" s="53">
        <v>15525</v>
      </c>
      <c r="AF85" s="54">
        <f t="shared" si="40"/>
        <v>776.25</v>
      </c>
      <c r="AG85" s="53">
        <v>0</v>
      </c>
      <c r="AH85" s="53">
        <v>0</v>
      </c>
      <c r="AI85" s="55">
        <f t="shared" si="34"/>
        <v>1293.2325000000001</v>
      </c>
      <c r="AJ85" s="55">
        <f t="shared" si="58"/>
        <v>776.25</v>
      </c>
      <c r="AK85" s="50">
        <f t="shared" si="59"/>
        <v>18370.732499999998</v>
      </c>
      <c r="AL85" s="50">
        <v>1500</v>
      </c>
      <c r="AM85" s="50">
        <v>1950</v>
      </c>
      <c r="AN85" s="50">
        <f t="shared" si="60"/>
        <v>555.01875000000007</v>
      </c>
      <c r="AO85" s="50">
        <v>300</v>
      </c>
      <c r="AP85" s="50">
        <f t="shared" si="61"/>
        <v>1482.3025875000001</v>
      </c>
      <c r="AQ85" s="50">
        <f t="shared" si="62"/>
        <v>24158.053837499996</v>
      </c>
      <c r="AR85" s="52">
        <f t="shared" si="41"/>
        <v>894.74273472222205</v>
      </c>
      <c r="AS85" s="52">
        <f t="shared" si="42"/>
        <v>75.46875</v>
      </c>
      <c r="AT85" s="52">
        <f t="shared" si="43"/>
        <v>83.375988281250002</v>
      </c>
      <c r="AU85" s="50">
        <f t="shared" si="44"/>
        <v>10925</v>
      </c>
      <c r="AV85" s="50">
        <f t="shared" si="45"/>
        <v>546.25</v>
      </c>
      <c r="AW85" s="50">
        <f t="shared" si="46"/>
        <v>0</v>
      </c>
      <c r="AX85" s="50">
        <f t="shared" si="47"/>
        <v>0</v>
      </c>
      <c r="AY85" s="50">
        <f t="shared" si="48"/>
        <v>910.05250000000001</v>
      </c>
      <c r="AZ85" s="50">
        <f t="shared" si="63"/>
        <v>546.25</v>
      </c>
      <c r="BA85" s="56">
        <f t="shared" si="49"/>
        <v>1056</v>
      </c>
      <c r="BB85" s="50">
        <f t="shared" si="50"/>
        <v>0</v>
      </c>
      <c r="BC85" s="50">
        <f t="shared" si="51"/>
        <v>0</v>
      </c>
      <c r="BD85" s="50">
        <f t="shared" si="64"/>
        <v>13983.5525</v>
      </c>
      <c r="BE85" s="57">
        <f t="shared" si="52"/>
        <v>1267</v>
      </c>
      <c r="BF85" s="50">
        <f t="shared" si="65"/>
        <v>87</v>
      </c>
      <c r="BG85" s="58">
        <f t="shared" si="66"/>
        <v>200</v>
      </c>
      <c r="BH85" s="55">
        <f t="shared" si="70"/>
        <v>0</v>
      </c>
      <c r="BI85" s="55">
        <f t="shared" si="70"/>
        <v>0</v>
      </c>
      <c r="BJ85" s="55">
        <f t="shared" si="53"/>
        <v>285</v>
      </c>
      <c r="BK85" s="59">
        <v>25</v>
      </c>
      <c r="BL85" s="55">
        <f t="shared" si="54"/>
        <v>1864</v>
      </c>
      <c r="BM85" s="61">
        <f t="shared" si="55"/>
        <v>12120</v>
      </c>
      <c r="BN85" s="57">
        <f t="shared" si="56"/>
        <v>1372</v>
      </c>
      <c r="BO85" s="55">
        <f t="shared" si="67"/>
        <v>373</v>
      </c>
      <c r="BP85" s="55">
        <v>75</v>
      </c>
      <c r="BQ85" s="55">
        <v>300</v>
      </c>
      <c r="BR85" s="55">
        <f t="shared" si="68"/>
        <v>1053</v>
      </c>
      <c r="BS85" s="50">
        <f t="shared" si="57"/>
        <v>17156.552499999998</v>
      </c>
    </row>
    <row r="86" spans="1:71" s="62" customFormat="1" ht="15.75" x14ac:dyDescent="0.25">
      <c r="A86" s="31">
        <v>78</v>
      </c>
      <c r="B86" s="32"/>
      <c r="C86" s="33" t="s">
        <v>674</v>
      </c>
      <c r="D86" s="78" t="s">
        <v>675</v>
      </c>
      <c r="E86" s="79" t="s">
        <v>676</v>
      </c>
      <c r="F86" s="35" t="s">
        <v>412</v>
      </c>
      <c r="G86" s="80" t="s">
        <v>677</v>
      </c>
      <c r="H86" s="35" t="s">
        <v>678</v>
      </c>
      <c r="I86" s="38" t="s">
        <v>664</v>
      </c>
      <c r="J86" s="81">
        <v>461382507142</v>
      </c>
      <c r="K86" s="35" t="s">
        <v>82</v>
      </c>
      <c r="L86" s="82" t="s">
        <v>679</v>
      </c>
      <c r="M86" s="35" t="s">
        <v>84</v>
      </c>
      <c r="N86" s="85" t="s">
        <v>680</v>
      </c>
      <c r="O86" s="43">
        <v>2505018420</v>
      </c>
      <c r="P86" s="35">
        <v>9359879617</v>
      </c>
      <c r="Q86" s="40"/>
      <c r="R86" s="40" t="s">
        <v>319</v>
      </c>
      <c r="S86" s="40" t="s">
        <v>88</v>
      </c>
      <c r="T86" s="45" t="s">
        <v>89</v>
      </c>
      <c r="U86" s="46" t="s">
        <v>90</v>
      </c>
      <c r="V86" s="65">
        <v>27</v>
      </c>
      <c r="W86" s="48">
        <v>0</v>
      </c>
      <c r="X86" s="48">
        <v>0</v>
      </c>
      <c r="Y86" s="49">
        <f t="shared" si="38"/>
        <v>27</v>
      </c>
      <c r="Z86" s="50"/>
      <c r="AA86" s="51"/>
      <c r="AB86" s="52">
        <f t="shared" si="39"/>
        <v>405</v>
      </c>
      <c r="AC86" s="51"/>
      <c r="AD86" s="51"/>
      <c r="AE86" s="53">
        <v>15525</v>
      </c>
      <c r="AF86" s="54">
        <f t="shared" si="40"/>
        <v>776.25</v>
      </c>
      <c r="AG86" s="53">
        <v>0</v>
      </c>
      <c r="AH86" s="53">
        <v>0</v>
      </c>
      <c r="AI86" s="55">
        <f t="shared" si="34"/>
        <v>1293.2325000000001</v>
      </c>
      <c r="AJ86" s="55">
        <f t="shared" si="58"/>
        <v>776.25</v>
      </c>
      <c r="AK86" s="50">
        <f t="shared" si="59"/>
        <v>18370.732499999998</v>
      </c>
      <c r="AL86" s="50">
        <v>1500</v>
      </c>
      <c r="AM86" s="50">
        <v>1950</v>
      </c>
      <c r="AN86" s="50">
        <f t="shared" si="60"/>
        <v>555.01875000000007</v>
      </c>
      <c r="AO86" s="50">
        <v>300</v>
      </c>
      <c r="AP86" s="50">
        <f t="shared" si="61"/>
        <v>1482.3025875000001</v>
      </c>
      <c r="AQ86" s="50">
        <f t="shared" si="62"/>
        <v>24158.053837499996</v>
      </c>
      <c r="AR86" s="52">
        <f t="shared" si="41"/>
        <v>894.74273472222205</v>
      </c>
      <c r="AS86" s="52">
        <f t="shared" si="42"/>
        <v>75.46875</v>
      </c>
      <c r="AT86" s="52">
        <f t="shared" si="43"/>
        <v>83.375988281250002</v>
      </c>
      <c r="AU86" s="50">
        <f t="shared" si="44"/>
        <v>15525</v>
      </c>
      <c r="AV86" s="50">
        <f t="shared" si="45"/>
        <v>776.25</v>
      </c>
      <c r="AW86" s="50">
        <f t="shared" si="46"/>
        <v>0</v>
      </c>
      <c r="AX86" s="50">
        <f t="shared" si="47"/>
        <v>0</v>
      </c>
      <c r="AY86" s="50">
        <f t="shared" si="48"/>
        <v>1293.2325000000001</v>
      </c>
      <c r="AZ86" s="50">
        <f t="shared" si="63"/>
        <v>776.25</v>
      </c>
      <c r="BA86" s="56">
        <f t="shared" si="49"/>
        <v>1500</v>
      </c>
      <c r="BB86" s="50">
        <f t="shared" si="50"/>
        <v>0</v>
      </c>
      <c r="BC86" s="50">
        <f t="shared" si="51"/>
        <v>0</v>
      </c>
      <c r="BD86" s="50">
        <f t="shared" si="64"/>
        <v>19870.732499999998</v>
      </c>
      <c r="BE86" s="57">
        <f t="shared" si="52"/>
        <v>1800</v>
      </c>
      <c r="BF86" s="50">
        <f t="shared" si="65"/>
        <v>123</v>
      </c>
      <c r="BG86" s="58">
        <f t="shared" si="66"/>
        <v>200</v>
      </c>
      <c r="BH86" s="55">
        <f t="shared" si="70"/>
        <v>0</v>
      </c>
      <c r="BI86" s="55">
        <f t="shared" si="70"/>
        <v>0</v>
      </c>
      <c r="BJ86" s="55">
        <f t="shared" si="53"/>
        <v>405</v>
      </c>
      <c r="BK86" s="59">
        <v>25</v>
      </c>
      <c r="BL86" s="55">
        <f t="shared" si="54"/>
        <v>2553</v>
      </c>
      <c r="BM86" s="61">
        <f t="shared" si="55"/>
        <v>17318</v>
      </c>
      <c r="BN86" s="57">
        <f t="shared" si="56"/>
        <v>1950</v>
      </c>
      <c r="BO86" s="55">
        <f t="shared" si="67"/>
        <v>530</v>
      </c>
      <c r="BP86" s="55">
        <v>75</v>
      </c>
      <c r="BQ86" s="55">
        <v>300</v>
      </c>
      <c r="BR86" s="55">
        <f t="shared" si="68"/>
        <v>1486</v>
      </c>
      <c r="BS86" s="50">
        <f t="shared" si="57"/>
        <v>24211.732499999998</v>
      </c>
    </row>
    <row r="87" spans="1:71" s="62" customFormat="1" ht="15.75" x14ac:dyDescent="0.25">
      <c r="A87" s="31">
        <v>79</v>
      </c>
      <c r="B87" s="32"/>
      <c r="C87" s="33" t="s">
        <v>681</v>
      </c>
      <c r="D87" s="78" t="s">
        <v>682</v>
      </c>
      <c r="E87" s="79" t="s">
        <v>683</v>
      </c>
      <c r="F87" s="35" t="s">
        <v>412</v>
      </c>
      <c r="G87" s="80" t="s">
        <v>684</v>
      </c>
      <c r="H87" s="35" t="s">
        <v>685</v>
      </c>
      <c r="I87" s="38" t="s">
        <v>664</v>
      </c>
      <c r="J87" s="81">
        <v>815707527807</v>
      </c>
      <c r="K87" s="35" t="s">
        <v>686</v>
      </c>
      <c r="L87" s="82" t="s">
        <v>687</v>
      </c>
      <c r="M87" s="35" t="s">
        <v>688</v>
      </c>
      <c r="N87" s="83" t="s">
        <v>689</v>
      </c>
      <c r="O87" s="43">
        <v>2504997119</v>
      </c>
      <c r="P87" s="35">
        <v>8010737282</v>
      </c>
      <c r="Q87" s="40"/>
      <c r="R87" s="40" t="s">
        <v>495</v>
      </c>
      <c r="S87" s="40" t="s">
        <v>88</v>
      </c>
      <c r="T87" s="45" t="s">
        <v>89</v>
      </c>
      <c r="U87" s="46" t="s">
        <v>90</v>
      </c>
      <c r="V87" s="47">
        <v>24.5</v>
      </c>
      <c r="W87" s="48">
        <v>0</v>
      </c>
      <c r="X87" s="48">
        <v>0</v>
      </c>
      <c r="Y87" s="49">
        <f t="shared" si="38"/>
        <v>24.5</v>
      </c>
      <c r="Z87" s="50"/>
      <c r="AA87" s="51"/>
      <c r="AB87" s="52">
        <f t="shared" si="39"/>
        <v>367.5</v>
      </c>
      <c r="AC87" s="51"/>
      <c r="AD87" s="51"/>
      <c r="AE87" s="53">
        <v>15525</v>
      </c>
      <c r="AF87" s="54">
        <f t="shared" si="40"/>
        <v>776.25</v>
      </c>
      <c r="AG87" s="53">
        <v>0</v>
      </c>
      <c r="AH87" s="53">
        <v>0</v>
      </c>
      <c r="AI87" s="55">
        <f t="shared" si="34"/>
        <v>1293.2325000000001</v>
      </c>
      <c r="AJ87" s="55">
        <f t="shared" si="58"/>
        <v>776.25</v>
      </c>
      <c r="AK87" s="50">
        <f t="shared" si="59"/>
        <v>18370.732499999998</v>
      </c>
      <c r="AL87" s="50">
        <v>1500</v>
      </c>
      <c r="AM87" s="50">
        <v>1950</v>
      </c>
      <c r="AN87" s="50">
        <f t="shared" si="60"/>
        <v>555.01875000000007</v>
      </c>
      <c r="AO87" s="50">
        <v>300</v>
      </c>
      <c r="AP87" s="50">
        <f t="shared" si="61"/>
        <v>1482.3025875000001</v>
      </c>
      <c r="AQ87" s="50">
        <f t="shared" si="62"/>
        <v>24158.053837499996</v>
      </c>
      <c r="AR87" s="52">
        <f t="shared" si="41"/>
        <v>894.74273472222205</v>
      </c>
      <c r="AS87" s="52">
        <f t="shared" si="42"/>
        <v>75.46875</v>
      </c>
      <c r="AT87" s="52">
        <f t="shared" si="43"/>
        <v>83.375988281250002</v>
      </c>
      <c r="AU87" s="50">
        <f t="shared" si="44"/>
        <v>14087.5</v>
      </c>
      <c r="AV87" s="50">
        <f t="shared" si="45"/>
        <v>704.375</v>
      </c>
      <c r="AW87" s="50">
        <f t="shared" si="46"/>
        <v>0</v>
      </c>
      <c r="AX87" s="50">
        <f t="shared" si="47"/>
        <v>0</v>
      </c>
      <c r="AY87" s="50">
        <f t="shared" si="48"/>
        <v>1173.48875</v>
      </c>
      <c r="AZ87" s="50">
        <f t="shared" si="63"/>
        <v>704.375</v>
      </c>
      <c r="BA87" s="56">
        <f t="shared" si="49"/>
        <v>1361</v>
      </c>
      <c r="BB87" s="50">
        <f t="shared" si="50"/>
        <v>0</v>
      </c>
      <c r="BC87" s="50">
        <f t="shared" si="51"/>
        <v>0</v>
      </c>
      <c r="BD87" s="50">
        <f t="shared" si="64"/>
        <v>18030.73875</v>
      </c>
      <c r="BE87" s="57">
        <f t="shared" si="52"/>
        <v>1633</v>
      </c>
      <c r="BF87" s="50">
        <f t="shared" si="65"/>
        <v>111</v>
      </c>
      <c r="BG87" s="58">
        <f t="shared" si="66"/>
        <v>200</v>
      </c>
      <c r="BH87" s="55">
        <f t="shared" si="70"/>
        <v>0</v>
      </c>
      <c r="BI87" s="55">
        <f t="shared" si="70"/>
        <v>0</v>
      </c>
      <c r="BJ87" s="55">
        <f t="shared" si="53"/>
        <v>367.5</v>
      </c>
      <c r="BK87" s="59">
        <v>25</v>
      </c>
      <c r="BL87" s="55">
        <f t="shared" si="54"/>
        <v>2336.5</v>
      </c>
      <c r="BM87" s="61">
        <f t="shared" si="55"/>
        <v>15694</v>
      </c>
      <c r="BN87" s="57">
        <f t="shared" si="56"/>
        <v>1769</v>
      </c>
      <c r="BO87" s="55">
        <f t="shared" si="67"/>
        <v>481</v>
      </c>
      <c r="BP87" s="55">
        <v>75</v>
      </c>
      <c r="BQ87" s="55">
        <v>300</v>
      </c>
      <c r="BR87" s="55">
        <f t="shared" si="68"/>
        <v>1351</v>
      </c>
      <c r="BS87" s="50">
        <f t="shared" si="57"/>
        <v>22006.73875</v>
      </c>
    </row>
    <row r="88" spans="1:71" s="62" customFormat="1" ht="15.75" x14ac:dyDescent="0.25">
      <c r="A88" s="31">
        <v>80</v>
      </c>
      <c r="B88" s="32"/>
      <c r="C88" s="33" t="s">
        <v>690</v>
      </c>
      <c r="D88" s="78" t="s">
        <v>691</v>
      </c>
      <c r="E88" s="79" t="s">
        <v>692</v>
      </c>
      <c r="F88" s="35" t="s">
        <v>412</v>
      </c>
      <c r="G88" s="80" t="s">
        <v>693</v>
      </c>
      <c r="H88" s="35" t="s">
        <v>694</v>
      </c>
      <c r="I88" s="38" t="s">
        <v>695</v>
      </c>
      <c r="J88" s="81" t="s">
        <v>696</v>
      </c>
      <c r="K88" s="35" t="s">
        <v>393</v>
      </c>
      <c r="L88" s="82" t="s">
        <v>697</v>
      </c>
      <c r="M88" s="35" t="s">
        <v>395</v>
      </c>
      <c r="N88" s="83" t="s">
        <v>698</v>
      </c>
      <c r="O88" s="86" t="s">
        <v>699</v>
      </c>
      <c r="P88" s="81">
        <v>9421524014</v>
      </c>
      <c r="Q88" s="40"/>
      <c r="R88" s="40" t="s">
        <v>700</v>
      </c>
      <c r="S88" s="40" t="s">
        <v>88</v>
      </c>
      <c r="T88" s="45" t="s">
        <v>89</v>
      </c>
      <c r="U88" s="46" t="s">
        <v>90</v>
      </c>
      <c r="V88" s="47">
        <v>27</v>
      </c>
      <c r="W88" s="48">
        <v>0</v>
      </c>
      <c r="X88" s="48">
        <v>0</v>
      </c>
      <c r="Y88" s="49">
        <f t="shared" si="38"/>
        <v>27</v>
      </c>
      <c r="Z88" s="50"/>
      <c r="AA88" s="51"/>
      <c r="AB88" s="52">
        <f t="shared" si="39"/>
        <v>405</v>
      </c>
      <c r="AC88" s="51"/>
      <c r="AD88" s="51"/>
      <c r="AE88" s="53">
        <v>15525</v>
      </c>
      <c r="AF88" s="54">
        <f t="shared" si="40"/>
        <v>776.25</v>
      </c>
      <c r="AG88" s="53">
        <v>0</v>
      </c>
      <c r="AH88" s="53">
        <v>0</v>
      </c>
      <c r="AI88" s="55">
        <f t="shared" si="34"/>
        <v>1293.2325000000001</v>
      </c>
      <c r="AJ88" s="55">
        <f t="shared" si="58"/>
        <v>776.25</v>
      </c>
      <c r="AK88" s="50">
        <f t="shared" si="59"/>
        <v>18370.732499999998</v>
      </c>
      <c r="AL88" s="50">
        <v>1500</v>
      </c>
      <c r="AM88" s="50">
        <v>1950</v>
      </c>
      <c r="AN88" s="50">
        <f t="shared" si="60"/>
        <v>555.01875000000007</v>
      </c>
      <c r="AO88" s="50">
        <v>300</v>
      </c>
      <c r="AP88" s="50">
        <f t="shared" si="61"/>
        <v>1482.3025875000001</v>
      </c>
      <c r="AQ88" s="50">
        <f t="shared" si="62"/>
        <v>24158.053837499996</v>
      </c>
      <c r="AR88" s="52">
        <f t="shared" si="41"/>
        <v>894.74273472222205</v>
      </c>
      <c r="AS88" s="52">
        <f t="shared" si="42"/>
        <v>75.46875</v>
      </c>
      <c r="AT88" s="52">
        <f t="shared" si="43"/>
        <v>83.375988281250002</v>
      </c>
      <c r="AU88" s="50">
        <f t="shared" si="44"/>
        <v>15525</v>
      </c>
      <c r="AV88" s="50">
        <f t="shared" si="45"/>
        <v>776.25</v>
      </c>
      <c r="AW88" s="50">
        <f t="shared" si="46"/>
        <v>0</v>
      </c>
      <c r="AX88" s="50">
        <f t="shared" si="47"/>
        <v>0</v>
      </c>
      <c r="AY88" s="50">
        <f t="shared" si="48"/>
        <v>1293.2325000000001</v>
      </c>
      <c r="AZ88" s="50">
        <f t="shared" si="63"/>
        <v>776.25</v>
      </c>
      <c r="BA88" s="56">
        <f t="shared" si="49"/>
        <v>1500</v>
      </c>
      <c r="BB88" s="50">
        <f t="shared" si="50"/>
        <v>0</v>
      </c>
      <c r="BC88" s="50">
        <f t="shared" si="51"/>
        <v>0</v>
      </c>
      <c r="BD88" s="50">
        <f t="shared" si="64"/>
        <v>19870.732499999998</v>
      </c>
      <c r="BE88" s="57">
        <f t="shared" si="52"/>
        <v>1800</v>
      </c>
      <c r="BF88" s="50">
        <f t="shared" si="65"/>
        <v>123</v>
      </c>
      <c r="BG88" s="58">
        <f t="shared" si="66"/>
        <v>200</v>
      </c>
      <c r="BH88" s="55">
        <f t="shared" si="70"/>
        <v>0</v>
      </c>
      <c r="BI88" s="55">
        <f t="shared" si="70"/>
        <v>0</v>
      </c>
      <c r="BJ88" s="55">
        <f t="shared" si="53"/>
        <v>405</v>
      </c>
      <c r="BK88" s="59">
        <v>25</v>
      </c>
      <c r="BL88" s="55">
        <f t="shared" si="54"/>
        <v>2553</v>
      </c>
      <c r="BM88" s="61">
        <f t="shared" si="55"/>
        <v>17318</v>
      </c>
      <c r="BN88" s="57">
        <f t="shared" si="56"/>
        <v>1950</v>
      </c>
      <c r="BO88" s="55">
        <f t="shared" si="67"/>
        <v>530</v>
      </c>
      <c r="BP88" s="55">
        <v>75</v>
      </c>
      <c r="BQ88" s="55">
        <v>300</v>
      </c>
      <c r="BR88" s="55">
        <f t="shared" si="68"/>
        <v>1486</v>
      </c>
      <c r="BS88" s="50">
        <f t="shared" si="57"/>
        <v>24211.732499999998</v>
      </c>
    </row>
    <row r="89" spans="1:71" s="62" customFormat="1" ht="15.75" x14ac:dyDescent="0.25">
      <c r="A89" s="31">
        <v>81</v>
      </c>
      <c r="B89" s="32"/>
      <c r="C89" s="33" t="s">
        <v>701</v>
      </c>
      <c r="D89" s="78" t="s">
        <v>702</v>
      </c>
      <c r="E89" s="79" t="s">
        <v>703</v>
      </c>
      <c r="F89" s="35" t="s">
        <v>412</v>
      </c>
      <c r="G89" s="80" t="s">
        <v>704</v>
      </c>
      <c r="H89" s="35" t="s">
        <v>705</v>
      </c>
      <c r="I89" s="38" t="s">
        <v>706</v>
      </c>
      <c r="J89" s="82" t="s">
        <v>707</v>
      </c>
      <c r="K89" s="35" t="s">
        <v>96</v>
      </c>
      <c r="L89" s="82" t="s">
        <v>708</v>
      </c>
      <c r="M89" s="35" t="s">
        <v>98</v>
      </c>
      <c r="N89" s="83" t="s">
        <v>709</v>
      </c>
      <c r="O89" s="86">
        <v>2504716893</v>
      </c>
      <c r="P89" s="82" t="s">
        <v>710</v>
      </c>
      <c r="Q89" s="40"/>
      <c r="R89" s="40" t="s">
        <v>101</v>
      </c>
      <c r="S89" s="40" t="s">
        <v>88</v>
      </c>
      <c r="T89" s="45" t="s">
        <v>89</v>
      </c>
      <c r="U89" s="46" t="s">
        <v>90</v>
      </c>
      <c r="V89" s="47">
        <v>24.5</v>
      </c>
      <c r="W89" s="48">
        <v>0</v>
      </c>
      <c r="X89" s="48">
        <v>0</v>
      </c>
      <c r="Y89" s="49">
        <f t="shared" si="38"/>
        <v>24.5</v>
      </c>
      <c r="Z89" s="50"/>
      <c r="AA89" s="51"/>
      <c r="AB89" s="52">
        <f t="shared" si="39"/>
        <v>367.5</v>
      </c>
      <c r="AC89" s="51"/>
      <c r="AD89" s="51"/>
      <c r="AE89" s="53">
        <v>15525</v>
      </c>
      <c r="AF89" s="54">
        <f t="shared" si="40"/>
        <v>776.25</v>
      </c>
      <c r="AG89" s="53">
        <v>0</v>
      </c>
      <c r="AH89" s="53">
        <v>0</v>
      </c>
      <c r="AI89" s="55">
        <f t="shared" si="34"/>
        <v>1293.2325000000001</v>
      </c>
      <c r="AJ89" s="55">
        <f t="shared" si="58"/>
        <v>776.25</v>
      </c>
      <c r="AK89" s="50">
        <f t="shared" si="59"/>
        <v>18370.732499999998</v>
      </c>
      <c r="AL89" s="50">
        <v>1500</v>
      </c>
      <c r="AM89" s="50">
        <v>1950</v>
      </c>
      <c r="AN89" s="50">
        <f t="shared" si="60"/>
        <v>555.01875000000007</v>
      </c>
      <c r="AO89" s="50">
        <v>300</v>
      </c>
      <c r="AP89" s="50">
        <f t="shared" si="61"/>
        <v>1482.3025875000001</v>
      </c>
      <c r="AQ89" s="50">
        <f t="shared" si="62"/>
        <v>24158.053837499996</v>
      </c>
      <c r="AR89" s="52">
        <f t="shared" si="41"/>
        <v>894.74273472222205</v>
      </c>
      <c r="AS89" s="52">
        <f t="shared" si="42"/>
        <v>75.46875</v>
      </c>
      <c r="AT89" s="52">
        <f t="shared" si="43"/>
        <v>83.375988281250002</v>
      </c>
      <c r="AU89" s="50">
        <f t="shared" si="44"/>
        <v>14087.5</v>
      </c>
      <c r="AV89" s="50">
        <f t="shared" si="45"/>
        <v>704.375</v>
      </c>
      <c r="AW89" s="50">
        <f t="shared" si="46"/>
        <v>0</v>
      </c>
      <c r="AX89" s="50">
        <f t="shared" si="47"/>
        <v>0</v>
      </c>
      <c r="AY89" s="50">
        <f t="shared" si="48"/>
        <v>1173.48875</v>
      </c>
      <c r="AZ89" s="50">
        <f t="shared" si="63"/>
        <v>704.375</v>
      </c>
      <c r="BA89" s="56">
        <f t="shared" si="49"/>
        <v>1361</v>
      </c>
      <c r="BB89" s="50">
        <f t="shared" si="50"/>
        <v>0</v>
      </c>
      <c r="BC89" s="50">
        <f t="shared" si="51"/>
        <v>0</v>
      </c>
      <c r="BD89" s="50">
        <f t="shared" si="64"/>
        <v>18030.73875</v>
      </c>
      <c r="BE89" s="57">
        <f t="shared" si="52"/>
        <v>1633</v>
      </c>
      <c r="BF89" s="50">
        <f t="shared" si="65"/>
        <v>111</v>
      </c>
      <c r="BG89" s="58">
        <f t="shared" si="66"/>
        <v>200</v>
      </c>
      <c r="BH89" s="55">
        <f t="shared" si="70"/>
        <v>0</v>
      </c>
      <c r="BI89" s="55">
        <f t="shared" si="70"/>
        <v>0</v>
      </c>
      <c r="BJ89" s="55">
        <f t="shared" si="53"/>
        <v>367.5</v>
      </c>
      <c r="BK89" s="59">
        <v>25</v>
      </c>
      <c r="BL89" s="55">
        <f t="shared" si="54"/>
        <v>2336.5</v>
      </c>
      <c r="BM89" s="61">
        <f t="shared" si="55"/>
        <v>15694</v>
      </c>
      <c r="BN89" s="57">
        <f t="shared" si="56"/>
        <v>1769</v>
      </c>
      <c r="BO89" s="55">
        <f t="shared" si="67"/>
        <v>481</v>
      </c>
      <c r="BP89" s="55">
        <v>75</v>
      </c>
      <c r="BQ89" s="55">
        <v>300</v>
      </c>
      <c r="BR89" s="55">
        <f t="shared" si="68"/>
        <v>1351</v>
      </c>
      <c r="BS89" s="50">
        <f t="shared" si="57"/>
        <v>22006.73875</v>
      </c>
    </row>
    <row r="90" spans="1:71" s="62" customFormat="1" ht="15.75" x14ac:dyDescent="0.25">
      <c r="A90" s="31">
        <v>82</v>
      </c>
      <c r="B90" s="32"/>
      <c r="C90" s="33" t="s">
        <v>711</v>
      </c>
      <c r="D90" s="78" t="s">
        <v>712</v>
      </c>
      <c r="E90" s="79" t="s">
        <v>713</v>
      </c>
      <c r="F90" s="35" t="s">
        <v>412</v>
      </c>
      <c r="G90" s="80" t="s">
        <v>714</v>
      </c>
      <c r="H90" s="35" t="s">
        <v>715</v>
      </c>
      <c r="I90" s="38" t="s">
        <v>716</v>
      </c>
      <c r="J90" s="82" t="s">
        <v>717</v>
      </c>
      <c r="K90" s="35" t="s">
        <v>107</v>
      </c>
      <c r="L90" s="82" t="s">
        <v>718</v>
      </c>
      <c r="M90" s="35" t="s">
        <v>124</v>
      </c>
      <c r="N90" s="83" t="s">
        <v>719</v>
      </c>
      <c r="O90" s="86">
        <v>2503140203</v>
      </c>
      <c r="P90" s="82" t="s">
        <v>720</v>
      </c>
      <c r="Q90" s="40"/>
      <c r="R90" s="40" t="s">
        <v>87</v>
      </c>
      <c r="S90" s="40" t="s">
        <v>88</v>
      </c>
      <c r="T90" s="45" t="s">
        <v>89</v>
      </c>
      <c r="U90" s="46" t="s">
        <v>90</v>
      </c>
      <c r="V90" s="47">
        <v>22.5</v>
      </c>
      <c r="W90" s="48">
        <v>0</v>
      </c>
      <c r="X90" s="48">
        <v>0</v>
      </c>
      <c r="Y90" s="49">
        <f t="shared" si="38"/>
        <v>22.5</v>
      </c>
      <c r="Z90" s="50"/>
      <c r="AA90" s="51"/>
      <c r="AB90" s="52">
        <f t="shared" si="39"/>
        <v>337.5</v>
      </c>
      <c r="AC90" s="51"/>
      <c r="AD90" s="51"/>
      <c r="AE90" s="53">
        <v>15525</v>
      </c>
      <c r="AF90" s="54">
        <f t="shared" si="40"/>
        <v>776.25</v>
      </c>
      <c r="AG90" s="53">
        <v>0</v>
      </c>
      <c r="AH90" s="53">
        <v>0</v>
      </c>
      <c r="AI90" s="55">
        <f t="shared" si="34"/>
        <v>1293.2325000000001</v>
      </c>
      <c r="AJ90" s="55">
        <f t="shared" si="58"/>
        <v>776.25</v>
      </c>
      <c r="AK90" s="50">
        <f t="shared" si="59"/>
        <v>18370.732499999998</v>
      </c>
      <c r="AL90" s="50">
        <v>1500</v>
      </c>
      <c r="AM90" s="50">
        <v>1950</v>
      </c>
      <c r="AN90" s="50">
        <f t="shared" si="60"/>
        <v>555.01875000000007</v>
      </c>
      <c r="AO90" s="50">
        <v>300</v>
      </c>
      <c r="AP90" s="50">
        <f t="shared" si="61"/>
        <v>1482.3025875000001</v>
      </c>
      <c r="AQ90" s="50">
        <f t="shared" si="62"/>
        <v>24158.053837499996</v>
      </c>
      <c r="AR90" s="52">
        <f t="shared" si="41"/>
        <v>894.74273472222205</v>
      </c>
      <c r="AS90" s="52">
        <f t="shared" si="42"/>
        <v>75.46875</v>
      </c>
      <c r="AT90" s="52">
        <f t="shared" si="43"/>
        <v>83.375988281250002</v>
      </c>
      <c r="AU90" s="50">
        <f t="shared" si="44"/>
        <v>12937.5</v>
      </c>
      <c r="AV90" s="50">
        <f t="shared" si="45"/>
        <v>646.875</v>
      </c>
      <c r="AW90" s="50">
        <f t="shared" si="46"/>
        <v>0</v>
      </c>
      <c r="AX90" s="50">
        <f t="shared" si="47"/>
        <v>0</v>
      </c>
      <c r="AY90" s="50">
        <f t="shared" si="48"/>
        <v>1077.6937499999999</v>
      </c>
      <c r="AZ90" s="50">
        <f t="shared" si="63"/>
        <v>646.875</v>
      </c>
      <c r="BA90" s="56">
        <f t="shared" si="49"/>
        <v>1250</v>
      </c>
      <c r="BB90" s="50">
        <f t="shared" si="50"/>
        <v>0</v>
      </c>
      <c r="BC90" s="50">
        <f t="shared" si="51"/>
        <v>0</v>
      </c>
      <c r="BD90" s="50">
        <f t="shared" si="64"/>
        <v>16558.943749999999</v>
      </c>
      <c r="BE90" s="57">
        <f t="shared" si="52"/>
        <v>1500</v>
      </c>
      <c r="BF90" s="50">
        <f t="shared" si="65"/>
        <v>102</v>
      </c>
      <c r="BG90" s="58">
        <f t="shared" si="66"/>
        <v>200</v>
      </c>
      <c r="BH90" s="55">
        <f t="shared" si="70"/>
        <v>0</v>
      </c>
      <c r="BI90" s="55">
        <f t="shared" si="70"/>
        <v>0</v>
      </c>
      <c r="BJ90" s="55">
        <f t="shared" si="53"/>
        <v>337.5</v>
      </c>
      <c r="BK90" s="59">
        <v>25</v>
      </c>
      <c r="BL90" s="55">
        <f t="shared" si="54"/>
        <v>2164.5</v>
      </c>
      <c r="BM90" s="61">
        <f t="shared" si="55"/>
        <v>14394</v>
      </c>
      <c r="BN90" s="57">
        <f t="shared" si="56"/>
        <v>1625</v>
      </c>
      <c r="BO90" s="55">
        <f t="shared" si="67"/>
        <v>441</v>
      </c>
      <c r="BP90" s="55">
        <v>75</v>
      </c>
      <c r="BQ90" s="55">
        <v>300</v>
      </c>
      <c r="BR90" s="55">
        <f t="shared" si="68"/>
        <v>1242</v>
      </c>
      <c r="BS90" s="50">
        <f t="shared" si="57"/>
        <v>20241.943749999999</v>
      </c>
    </row>
    <row r="91" spans="1:71" s="62" customFormat="1" ht="15.75" x14ac:dyDescent="0.25">
      <c r="A91" s="31">
        <v>83</v>
      </c>
      <c r="B91" s="32"/>
      <c r="C91" s="33" t="s">
        <v>721</v>
      </c>
      <c r="D91" s="78" t="s">
        <v>722</v>
      </c>
      <c r="E91" s="79" t="s">
        <v>390</v>
      </c>
      <c r="F91" s="35" t="s">
        <v>412</v>
      </c>
      <c r="G91" s="87" t="s">
        <v>723</v>
      </c>
      <c r="H91" s="35" t="s">
        <v>724</v>
      </c>
      <c r="I91" s="38" t="s">
        <v>725</v>
      </c>
      <c r="J91" s="82">
        <v>655717657940</v>
      </c>
      <c r="K91" s="35" t="s">
        <v>726</v>
      </c>
      <c r="L91" s="82">
        <v>80093458669</v>
      </c>
      <c r="M91" s="35" t="s">
        <v>84</v>
      </c>
      <c r="N91" s="83" t="s">
        <v>727</v>
      </c>
      <c r="O91" s="86" t="s">
        <v>728</v>
      </c>
      <c r="P91" s="82">
        <v>9673891486</v>
      </c>
      <c r="Q91" s="40"/>
      <c r="R91" s="40" t="s">
        <v>622</v>
      </c>
      <c r="S91" s="40" t="s">
        <v>88</v>
      </c>
      <c r="T91" s="45" t="s">
        <v>89</v>
      </c>
      <c r="U91" s="46" t="s">
        <v>90</v>
      </c>
      <c r="V91" s="47">
        <v>27</v>
      </c>
      <c r="W91" s="48">
        <v>0</v>
      </c>
      <c r="X91" s="48">
        <v>0</v>
      </c>
      <c r="Y91" s="49">
        <f t="shared" si="38"/>
        <v>27</v>
      </c>
      <c r="Z91" s="50"/>
      <c r="AA91" s="51"/>
      <c r="AB91" s="52">
        <f t="shared" si="39"/>
        <v>405</v>
      </c>
      <c r="AC91" s="51"/>
      <c r="AD91" s="51"/>
      <c r="AE91" s="53">
        <v>15525</v>
      </c>
      <c r="AF91" s="54">
        <f t="shared" si="40"/>
        <v>776.25</v>
      </c>
      <c r="AG91" s="53">
        <v>0</v>
      </c>
      <c r="AH91" s="53">
        <v>0</v>
      </c>
      <c r="AI91" s="55">
        <f t="shared" si="34"/>
        <v>1293.2325000000001</v>
      </c>
      <c r="AJ91" s="55">
        <f t="shared" si="58"/>
        <v>776.25</v>
      </c>
      <c r="AK91" s="50">
        <f t="shared" si="59"/>
        <v>18370.732499999998</v>
      </c>
      <c r="AL91" s="50">
        <v>1500</v>
      </c>
      <c r="AM91" s="50">
        <v>1950</v>
      </c>
      <c r="AN91" s="50">
        <f t="shared" si="60"/>
        <v>555.01875000000007</v>
      </c>
      <c r="AO91" s="50">
        <v>300</v>
      </c>
      <c r="AP91" s="50">
        <f t="shared" si="61"/>
        <v>1482.3025875000001</v>
      </c>
      <c r="AQ91" s="50">
        <f t="shared" si="62"/>
        <v>24158.053837499996</v>
      </c>
      <c r="AR91" s="52">
        <f t="shared" si="41"/>
        <v>894.74273472222205</v>
      </c>
      <c r="AS91" s="52">
        <f t="shared" si="42"/>
        <v>75.46875</v>
      </c>
      <c r="AT91" s="52">
        <f t="shared" si="43"/>
        <v>83.375988281250002</v>
      </c>
      <c r="AU91" s="50">
        <f t="shared" si="44"/>
        <v>15525</v>
      </c>
      <c r="AV91" s="50">
        <f t="shared" si="45"/>
        <v>776.25</v>
      </c>
      <c r="AW91" s="50">
        <f t="shared" si="46"/>
        <v>0</v>
      </c>
      <c r="AX91" s="50">
        <f t="shared" si="47"/>
        <v>0</v>
      </c>
      <c r="AY91" s="50">
        <f t="shared" si="48"/>
        <v>1293.2325000000001</v>
      </c>
      <c r="AZ91" s="50">
        <f t="shared" si="63"/>
        <v>776.25</v>
      </c>
      <c r="BA91" s="56">
        <f t="shared" si="49"/>
        <v>1500</v>
      </c>
      <c r="BB91" s="50">
        <f t="shared" si="50"/>
        <v>0</v>
      </c>
      <c r="BC91" s="50">
        <f t="shared" si="51"/>
        <v>0</v>
      </c>
      <c r="BD91" s="50">
        <f t="shared" si="64"/>
        <v>19870.732499999998</v>
      </c>
      <c r="BE91" s="57">
        <f t="shared" si="52"/>
        <v>1800</v>
      </c>
      <c r="BF91" s="50">
        <f t="shared" si="65"/>
        <v>123</v>
      </c>
      <c r="BG91" s="58">
        <f t="shared" si="66"/>
        <v>200</v>
      </c>
      <c r="BH91" s="55">
        <f t="shared" si="70"/>
        <v>0</v>
      </c>
      <c r="BI91" s="55">
        <f t="shared" si="70"/>
        <v>0</v>
      </c>
      <c r="BJ91" s="55">
        <f t="shared" si="53"/>
        <v>405</v>
      </c>
      <c r="BK91" s="59">
        <v>25</v>
      </c>
      <c r="BL91" s="55">
        <f t="shared" si="54"/>
        <v>2553</v>
      </c>
      <c r="BM91" s="61">
        <f t="shared" si="55"/>
        <v>17318</v>
      </c>
      <c r="BN91" s="57">
        <f t="shared" si="56"/>
        <v>1950</v>
      </c>
      <c r="BO91" s="55">
        <f t="shared" si="67"/>
        <v>530</v>
      </c>
      <c r="BP91" s="55">
        <v>75</v>
      </c>
      <c r="BQ91" s="55">
        <v>300</v>
      </c>
      <c r="BR91" s="55">
        <f t="shared" si="68"/>
        <v>1486</v>
      </c>
      <c r="BS91" s="50">
        <f t="shared" si="57"/>
        <v>24211.732499999998</v>
      </c>
    </row>
    <row r="92" spans="1:71" s="62" customFormat="1" ht="15.75" x14ac:dyDescent="0.25">
      <c r="A92" s="31">
        <v>84</v>
      </c>
      <c r="B92" s="32"/>
      <c r="C92" s="33" t="s">
        <v>729</v>
      </c>
      <c r="D92" s="78" t="s">
        <v>730</v>
      </c>
      <c r="E92" s="79" t="s">
        <v>731</v>
      </c>
      <c r="F92" s="35" t="s">
        <v>412</v>
      </c>
      <c r="G92" s="80" t="s">
        <v>732</v>
      </c>
      <c r="H92" s="35" t="s">
        <v>733</v>
      </c>
      <c r="I92" s="38" t="s">
        <v>734</v>
      </c>
      <c r="J92" s="82">
        <v>663428250676</v>
      </c>
      <c r="K92" s="88" t="s">
        <v>735</v>
      </c>
      <c r="L92" s="82">
        <v>60294400958</v>
      </c>
      <c r="M92" s="35" t="s">
        <v>736</v>
      </c>
      <c r="N92" s="83" t="s">
        <v>737</v>
      </c>
      <c r="O92" s="86" t="s">
        <v>738</v>
      </c>
      <c r="P92" s="88">
        <v>8668434710</v>
      </c>
      <c r="Q92" s="40"/>
      <c r="R92" s="40" t="s">
        <v>739</v>
      </c>
      <c r="S92" s="45" t="s">
        <v>740</v>
      </c>
      <c r="T92" s="45" t="s">
        <v>387</v>
      </c>
      <c r="U92" s="46" t="s">
        <v>90</v>
      </c>
      <c r="V92" s="47">
        <v>22</v>
      </c>
      <c r="W92" s="48">
        <v>0</v>
      </c>
      <c r="X92" s="48">
        <v>0</v>
      </c>
      <c r="Y92" s="49">
        <f t="shared" si="38"/>
        <v>22</v>
      </c>
      <c r="Z92" s="50"/>
      <c r="AA92" s="51"/>
      <c r="AB92" s="52">
        <f t="shared" si="39"/>
        <v>330</v>
      </c>
      <c r="AC92" s="51"/>
      <c r="AD92" s="51"/>
      <c r="AE92" s="53">
        <v>15525</v>
      </c>
      <c r="AF92" s="54">
        <f t="shared" si="40"/>
        <v>776.25</v>
      </c>
      <c r="AG92" s="53">
        <v>500</v>
      </c>
      <c r="AH92" s="53">
        <v>0</v>
      </c>
      <c r="AI92" s="55">
        <f t="shared" si="34"/>
        <v>1293.2325000000001</v>
      </c>
      <c r="AJ92" s="55">
        <f t="shared" si="58"/>
        <v>776.25</v>
      </c>
      <c r="AK92" s="50">
        <f t="shared" si="59"/>
        <v>18870.732499999998</v>
      </c>
      <c r="AL92" s="50">
        <v>1500</v>
      </c>
      <c r="AM92" s="50">
        <v>1950</v>
      </c>
      <c r="AN92" s="50">
        <f t="shared" si="60"/>
        <v>571.26875000000007</v>
      </c>
      <c r="AO92" s="50">
        <v>300</v>
      </c>
      <c r="AP92" s="50">
        <f t="shared" si="61"/>
        <v>1518.4400874999999</v>
      </c>
      <c r="AQ92" s="50">
        <f t="shared" si="62"/>
        <v>24710.441337499997</v>
      </c>
      <c r="AR92" s="52">
        <f t="shared" si="41"/>
        <v>915.20153101851838</v>
      </c>
      <c r="AS92" s="52">
        <f t="shared" si="42"/>
        <v>77.78356481481481</v>
      </c>
      <c r="AT92" s="52">
        <f t="shared" si="43"/>
        <v>85.933337818287043</v>
      </c>
      <c r="AU92" s="50">
        <f t="shared" si="44"/>
        <v>12650</v>
      </c>
      <c r="AV92" s="50">
        <f t="shared" si="45"/>
        <v>632.5</v>
      </c>
      <c r="AW92" s="50">
        <f t="shared" si="46"/>
        <v>407.40740740740739</v>
      </c>
      <c r="AX92" s="50">
        <f t="shared" si="47"/>
        <v>0</v>
      </c>
      <c r="AY92" s="50">
        <f t="shared" si="48"/>
        <v>1053.7450000000001</v>
      </c>
      <c r="AZ92" s="50">
        <f t="shared" si="63"/>
        <v>632.5</v>
      </c>
      <c r="BA92" s="56">
        <f t="shared" si="49"/>
        <v>1222</v>
      </c>
      <c r="BB92" s="50">
        <f t="shared" si="50"/>
        <v>0</v>
      </c>
      <c r="BC92" s="50">
        <f t="shared" si="51"/>
        <v>0</v>
      </c>
      <c r="BD92" s="50">
        <f t="shared" si="64"/>
        <v>16598.152407407408</v>
      </c>
      <c r="BE92" s="57">
        <f t="shared" si="52"/>
        <v>1467</v>
      </c>
      <c r="BF92" s="50">
        <f t="shared" si="65"/>
        <v>103</v>
      </c>
      <c r="BG92" s="58">
        <f t="shared" si="66"/>
        <v>200</v>
      </c>
      <c r="BH92" s="55">
        <f t="shared" si="70"/>
        <v>0</v>
      </c>
      <c r="BI92" s="55">
        <f t="shared" si="70"/>
        <v>0</v>
      </c>
      <c r="BJ92" s="55">
        <f t="shared" si="53"/>
        <v>330</v>
      </c>
      <c r="BK92" s="59">
        <v>25</v>
      </c>
      <c r="BL92" s="55">
        <f t="shared" si="54"/>
        <v>2125</v>
      </c>
      <c r="BM92" s="61">
        <f t="shared" si="55"/>
        <v>14473</v>
      </c>
      <c r="BN92" s="57">
        <f t="shared" si="56"/>
        <v>1589</v>
      </c>
      <c r="BO92" s="55">
        <f t="shared" si="67"/>
        <v>445</v>
      </c>
      <c r="BP92" s="55">
        <v>75</v>
      </c>
      <c r="BQ92" s="55">
        <v>300</v>
      </c>
      <c r="BR92" s="55">
        <f t="shared" si="68"/>
        <v>1245</v>
      </c>
      <c r="BS92" s="50">
        <f t="shared" si="57"/>
        <v>20252.152407407408</v>
      </c>
    </row>
    <row r="93" spans="1:71" s="62" customFormat="1" ht="15.75" x14ac:dyDescent="0.25">
      <c r="A93" s="31">
        <v>85</v>
      </c>
      <c r="B93" s="32"/>
      <c r="C93" s="33" t="s">
        <v>741</v>
      </c>
      <c r="D93" s="78" t="s">
        <v>742</v>
      </c>
      <c r="E93" s="79" t="s">
        <v>743</v>
      </c>
      <c r="F93" s="35" t="s">
        <v>78</v>
      </c>
      <c r="G93" s="80"/>
      <c r="H93" s="35"/>
      <c r="I93" s="38"/>
      <c r="J93" s="82"/>
      <c r="K93" s="35" t="s">
        <v>82</v>
      </c>
      <c r="L93" s="82" t="s">
        <v>744</v>
      </c>
      <c r="M93" s="35" t="s">
        <v>745</v>
      </c>
      <c r="N93" s="83" t="s">
        <v>746</v>
      </c>
      <c r="O93" s="86">
        <v>2505095583</v>
      </c>
      <c r="P93" s="82"/>
      <c r="Q93" s="40"/>
      <c r="R93" s="40" t="s">
        <v>135</v>
      </c>
      <c r="S93" s="40" t="s">
        <v>88</v>
      </c>
      <c r="T93" s="45" t="s">
        <v>89</v>
      </c>
      <c r="U93" s="46" t="s">
        <v>90</v>
      </c>
      <c r="V93" s="47">
        <v>20.5</v>
      </c>
      <c r="W93" s="48">
        <v>0</v>
      </c>
      <c r="X93" s="48">
        <v>0</v>
      </c>
      <c r="Y93" s="49">
        <f t="shared" si="38"/>
        <v>20.5</v>
      </c>
      <c r="Z93" s="50"/>
      <c r="AA93" s="51"/>
      <c r="AB93" s="52">
        <f t="shared" si="39"/>
        <v>307.5</v>
      </c>
      <c r="AC93" s="51"/>
      <c r="AD93" s="51"/>
      <c r="AE93" s="53">
        <v>15525</v>
      </c>
      <c r="AF93" s="54">
        <f t="shared" si="40"/>
        <v>776.25</v>
      </c>
      <c r="AG93" s="53">
        <v>0</v>
      </c>
      <c r="AH93" s="53">
        <v>0</v>
      </c>
      <c r="AI93" s="55">
        <f t="shared" si="34"/>
        <v>1293.2325000000001</v>
      </c>
      <c r="AJ93" s="55">
        <f t="shared" si="58"/>
        <v>776.25</v>
      </c>
      <c r="AK93" s="50">
        <f t="shared" si="59"/>
        <v>18370.732499999998</v>
      </c>
      <c r="AL93" s="50">
        <v>1500</v>
      </c>
      <c r="AM93" s="50">
        <v>1950</v>
      </c>
      <c r="AN93" s="50">
        <f t="shared" si="60"/>
        <v>555.01875000000007</v>
      </c>
      <c r="AO93" s="50">
        <v>300</v>
      </c>
      <c r="AP93" s="50">
        <f t="shared" si="61"/>
        <v>1482.3025875000001</v>
      </c>
      <c r="AQ93" s="50">
        <f t="shared" si="62"/>
        <v>24158.053837499996</v>
      </c>
      <c r="AR93" s="52">
        <f t="shared" si="41"/>
        <v>894.74273472222205</v>
      </c>
      <c r="AS93" s="52">
        <f t="shared" si="42"/>
        <v>75.46875</v>
      </c>
      <c r="AT93" s="52">
        <f t="shared" si="43"/>
        <v>83.375988281250002</v>
      </c>
      <c r="AU93" s="50">
        <f t="shared" si="44"/>
        <v>11787.5</v>
      </c>
      <c r="AV93" s="50">
        <f t="shared" si="45"/>
        <v>589.375</v>
      </c>
      <c r="AW93" s="50">
        <f t="shared" si="46"/>
        <v>0</v>
      </c>
      <c r="AX93" s="50">
        <f t="shared" si="47"/>
        <v>0</v>
      </c>
      <c r="AY93" s="50">
        <f t="shared" si="48"/>
        <v>981.89875000000006</v>
      </c>
      <c r="AZ93" s="50">
        <f t="shared" si="63"/>
        <v>589.375</v>
      </c>
      <c r="BA93" s="56">
        <f t="shared" si="49"/>
        <v>1139</v>
      </c>
      <c r="BB93" s="50">
        <f t="shared" si="50"/>
        <v>0</v>
      </c>
      <c r="BC93" s="50">
        <f t="shared" si="51"/>
        <v>0</v>
      </c>
      <c r="BD93" s="50">
        <f t="shared" si="64"/>
        <v>15087.14875</v>
      </c>
      <c r="BE93" s="57">
        <f t="shared" si="52"/>
        <v>1367</v>
      </c>
      <c r="BF93" s="50">
        <f t="shared" si="65"/>
        <v>93</v>
      </c>
      <c r="BG93" s="58">
        <f t="shared" si="66"/>
        <v>200</v>
      </c>
      <c r="BH93" s="55">
        <f t="shared" ref="BH93:BI108" si="71">AC93</f>
        <v>0</v>
      </c>
      <c r="BI93" s="55">
        <f t="shared" si="71"/>
        <v>0</v>
      </c>
      <c r="BJ93" s="55">
        <f t="shared" si="53"/>
        <v>307.5</v>
      </c>
      <c r="BK93" s="59">
        <v>25</v>
      </c>
      <c r="BL93" s="55">
        <f t="shared" si="54"/>
        <v>1992.5</v>
      </c>
      <c r="BM93" s="61">
        <f t="shared" si="55"/>
        <v>13095</v>
      </c>
      <c r="BN93" s="57">
        <f t="shared" si="56"/>
        <v>1481</v>
      </c>
      <c r="BO93" s="55">
        <f t="shared" si="67"/>
        <v>402</v>
      </c>
      <c r="BP93" s="55">
        <v>75</v>
      </c>
      <c r="BQ93" s="55">
        <v>300</v>
      </c>
      <c r="BR93" s="55">
        <f t="shared" si="68"/>
        <v>1134</v>
      </c>
      <c r="BS93" s="50">
        <f t="shared" si="57"/>
        <v>18479.14875</v>
      </c>
    </row>
    <row r="94" spans="1:71" s="62" customFormat="1" ht="15.75" x14ac:dyDescent="0.25">
      <c r="A94" s="31">
        <v>86</v>
      </c>
      <c r="B94" s="32"/>
      <c r="C94" s="33" t="s">
        <v>747</v>
      </c>
      <c r="D94" s="78" t="s">
        <v>748</v>
      </c>
      <c r="E94" s="79" t="s">
        <v>749</v>
      </c>
      <c r="F94" s="35" t="s">
        <v>412</v>
      </c>
      <c r="G94" s="80" t="s">
        <v>750</v>
      </c>
      <c r="H94" s="35" t="s">
        <v>751</v>
      </c>
      <c r="I94" s="38" t="s">
        <v>752</v>
      </c>
      <c r="J94" s="82">
        <v>309695441771</v>
      </c>
      <c r="K94" s="35" t="s">
        <v>753</v>
      </c>
      <c r="L94" s="82">
        <v>35947025930</v>
      </c>
      <c r="M94" s="35" t="s">
        <v>132</v>
      </c>
      <c r="N94" s="83" t="s">
        <v>754</v>
      </c>
      <c r="O94" s="86">
        <v>2505095577</v>
      </c>
      <c r="P94" s="82">
        <v>8010217933</v>
      </c>
      <c r="Q94" s="40"/>
      <c r="R94" s="40" t="s">
        <v>629</v>
      </c>
      <c r="S94" s="40" t="s">
        <v>88</v>
      </c>
      <c r="T94" s="45" t="s">
        <v>89</v>
      </c>
      <c r="U94" s="46" t="s">
        <v>90</v>
      </c>
      <c r="V94" s="47">
        <v>26</v>
      </c>
      <c r="W94" s="48">
        <v>0</v>
      </c>
      <c r="X94" s="48">
        <v>0</v>
      </c>
      <c r="Y94" s="49">
        <f t="shared" si="38"/>
        <v>26</v>
      </c>
      <c r="Z94" s="50"/>
      <c r="AA94" s="51"/>
      <c r="AB94" s="52">
        <f t="shared" si="39"/>
        <v>390</v>
      </c>
      <c r="AC94" s="51"/>
      <c r="AD94" s="51"/>
      <c r="AE94" s="53">
        <v>15525</v>
      </c>
      <c r="AF94" s="54">
        <f t="shared" si="40"/>
        <v>776.25</v>
      </c>
      <c r="AG94" s="53">
        <v>0</v>
      </c>
      <c r="AH94" s="53">
        <v>0</v>
      </c>
      <c r="AI94" s="55">
        <f t="shared" si="34"/>
        <v>1293.2325000000001</v>
      </c>
      <c r="AJ94" s="55">
        <f t="shared" si="58"/>
        <v>776.25</v>
      </c>
      <c r="AK94" s="50">
        <f t="shared" si="59"/>
        <v>18370.732499999998</v>
      </c>
      <c r="AL94" s="50">
        <v>1500</v>
      </c>
      <c r="AM94" s="50">
        <v>1950</v>
      </c>
      <c r="AN94" s="50">
        <f t="shared" si="60"/>
        <v>555.01875000000007</v>
      </c>
      <c r="AO94" s="50">
        <v>300</v>
      </c>
      <c r="AP94" s="50">
        <f t="shared" si="61"/>
        <v>1482.3025875000001</v>
      </c>
      <c r="AQ94" s="50">
        <f t="shared" si="62"/>
        <v>24158.053837499996</v>
      </c>
      <c r="AR94" s="52">
        <f t="shared" si="41"/>
        <v>894.74273472222205</v>
      </c>
      <c r="AS94" s="52">
        <f t="shared" si="42"/>
        <v>75.46875</v>
      </c>
      <c r="AT94" s="52">
        <f t="shared" si="43"/>
        <v>83.375988281250002</v>
      </c>
      <c r="AU94" s="50">
        <f t="shared" si="44"/>
        <v>14950</v>
      </c>
      <c r="AV94" s="50">
        <f t="shared" si="45"/>
        <v>747.5</v>
      </c>
      <c r="AW94" s="50">
        <f t="shared" si="46"/>
        <v>0</v>
      </c>
      <c r="AX94" s="50">
        <f t="shared" si="47"/>
        <v>0</v>
      </c>
      <c r="AY94" s="50">
        <f t="shared" si="48"/>
        <v>1245.335</v>
      </c>
      <c r="AZ94" s="50">
        <f t="shared" si="63"/>
        <v>747.5</v>
      </c>
      <c r="BA94" s="56">
        <f t="shared" si="49"/>
        <v>1444</v>
      </c>
      <c r="BB94" s="50">
        <f t="shared" si="50"/>
        <v>0</v>
      </c>
      <c r="BC94" s="50">
        <f t="shared" si="51"/>
        <v>0</v>
      </c>
      <c r="BD94" s="50">
        <f t="shared" si="64"/>
        <v>19134.334999999999</v>
      </c>
      <c r="BE94" s="57">
        <f t="shared" si="52"/>
        <v>1733</v>
      </c>
      <c r="BF94" s="50">
        <f t="shared" si="65"/>
        <v>118</v>
      </c>
      <c r="BG94" s="58">
        <f t="shared" si="66"/>
        <v>200</v>
      </c>
      <c r="BH94" s="55">
        <f t="shared" si="71"/>
        <v>0</v>
      </c>
      <c r="BI94" s="55">
        <f t="shared" si="71"/>
        <v>0</v>
      </c>
      <c r="BJ94" s="55">
        <f t="shared" si="53"/>
        <v>390</v>
      </c>
      <c r="BK94" s="59">
        <v>25</v>
      </c>
      <c r="BL94" s="55">
        <f t="shared" si="54"/>
        <v>2466</v>
      </c>
      <c r="BM94" s="61">
        <f t="shared" si="55"/>
        <v>16668</v>
      </c>
      <c r="BN94" s="57">
        <f t="shared" si="56"/>
        <v>1878</v>
      </c>
      <c r="BO94" s="55">
        <f t="shared" si="67"/>
        <v>510</v>
      </c>
      <c r="BP94" s="55">
        <v>75</v>
      </c>
      <c r="BQ94" s="55">
        <v>300</v>
      </c>
      <c r="BR94" s="55">
        <f t="shared" si="68"/>
        <v>1432</v>
      </c>
      <c r="BS94" s="50">
        <f t="shared" si="57"/>
        <v>23329.334999999999</v>
      </c>
    </row>
    <row r="95" spans="1:71" s="62" customFormat="1" ht="15.75" x14ac:dyDescent="0.25">
      <c r="A95" s="31">
        <v>87</v>
      </c>
      <c r="B95" s="32"/>
      <c r="C95" s="33" t="s">
        <v>755</v>
      </c>
      <c r="D95" s="78" t="s">
        <v>756</v>
      </c>
      <c r="E95" s="79" t="s">
        <v>757</v>
      </c>
      <c r="F95" s="35" t="s">
        <v>412</v>
      </c>
      <c r="G95" s="80" t="s">
        <v>758</v>
      </c>
      <c r="H95" s="35" t="s">
        <v>759</v>
      </c>
      <c r="I95" s="38" t="s">
        <v>752</v>
      </c>
      <c r="J95" s="82" t="s">
        <v>760</v>
      </c>
      <c r="K95" s="35" t="s">
        <v>761</v>
      </c>
      <c r="L95" s="82">
        <v>3687002506</v>
      </c>
      <c r="M95" s="35" t="s">
        <v>108</v>
      </c>
      <c r="N95" s="83" t="s">
        <v>762</v>
      </c>
      <c r="O95" s="86">
        <v>2505095608</v>
      </c>
      <c r="P95" s="82">
        <v>7058166653</v>
      </c>
      <c r="Q95" s="40"/>
      <c r="R95" s="40" t="s">
        <v>189</v>
      </c>
      <c r="S95" s="40" t="s">
        <v>88</v>
      </c>
      <c r="T95" s="45" t="s">
        <v>89</v>
      </c>
      <c r="U95" s="46" t="s">
        <v>90</v>
      </c>
      <c r="V95" s="47">
        <v>27</v>
      </c>
      <c r="W95" s="48">
        <v>0</v>
      </c>
      <c r="X95" s="48">
        <v>0</v>
      </c>
      <c r="Y95" s="49">
        <f t="shared" si="38"/>
        <v>27</v>
      </c>
      <c r="Z95" s="50"/>
      <c r="AA95" s="51"/>
      <c r="AB95" s="52">
        <f t="shared" si="39"/>
        <v>405</v>
      </c>
      <c r="AC95" s="51"/>
      <c r="AD95" s="51"/>
      <c r="AE95" s="53">
        <v>15525</v>
      </c>
      <c r="AF95" s="54">
        <f t="shared" si="40"/>
        <v>776.25</v>
      </c>
      <c r="AG95" s="53">
        <v>0</v>
      </c>
      <c r="AH95" s="53">
        <v>0</v>
      </c>
      <c r="AI95" s="55">
        <f t="shared" si="34"/>
        <v>1293.2325000000001</v>
      </c>
      <c r="AJ95" s="55">
        <f t="shared" si="58"/>
        <v>776.25</v>
      </c>
      <c r="AK95" s="50">
        <f t="shared" si="59"/>
        <v>18370.732499999998</v>
      </c>
      <c r="AL95" s="50">
        <v>1500</v>
      </c>
      <c r="AM95" s="50">
        <v>1950</v>
      </c>
      <c r="AN95" s="50">
        <f t="shared" si="60"/>
        <v>555.01875000000007</v>
      </c>
      <c r="AO95" s="50">
        <v>300</v>
      </c>
      <c r="AP95" s="50">
        <f t="shared" si="61"/>
        <v>1482.3025875000001</v>
      </c>
      <c r="AQ95" s="50">
        <f t="shared" si="62"/>
        <v>24158.053837499996</v>
      </c>
      <c r="AR95" s="52">
        <f t="shared" si="41"/>
        <v>894.74273472222205</v>
      </c>
      <c r="AS95" s="52">
        <f t="shared" si="42"/>
        <v>75.46875</v>
      </c>
      <c r="AT95" s="52">
        <f t="shared" si="43"/>
        <v>83.375988281250002</v>
      </c>
      <c r="AU95" s="50">
        <f t="shared" si="44"/>
        <v>15525</v>
      </c>
      <c r="AV95" s="50">
        <f t="shared" si="45"/>
        <v>776.25</v>
      </c>
      <c r="AW95" s="50">
        <f t="shared" si="46"/>
        <v>0</v>
      </c>
      <c r="AX95" s="50">
        <f t="shared" si="47"/>
        <v>0</v>
      </c>
      <c r="AY95" s="50">
        <f t="shared" si="48"/>
        <v>1293.2325000000001</v>
      </c>
      <c r="AZ95" s="50">
        <f t="shared" si="63"/>
        <v>776.25</v>
      </c>
      <c r="BA95" s="56">
        <f t="shared" si="49"/>
        <v>1500</v>
      </c>
      <c r="BB95" s="50">
        <f t="shared" si="50"/>
        <v>0</v>
      </c>
      <c r="BC95" s="50">
        <f t="shared" si="51"/>
        <v>0</v>
      </c>
      <c r="BD95" s="50">
        <f t="shared" si="64"/>
        <v>19870.732499999998</v>
      </c>
      <c r="BE95" s="57">
        <f t="shared" si="52"/>
        <v>1800</v>
      </c>
      <c r="BF95" s="50">
        <f t="shared" si="65"/>
        <v>123</v>
      </c>
      <c r="BG95" s="58">
        <f t="shared" si="66"/>
        <v>200</v>
      </c>
      <c r="BH95" s="55">
        <f t="shared" si="71"/>
        <v>0</v>
      </c>
      <c r="BI95" s="55">
        <f t="shared" si="71"/>
        <v>0</v>
      </c>
      <c r="BJ95" s="55">
        <f t="shared" si="53"/>
        <v>405</v>
      </c>
      <c r="BK95" s="59">
        <v>25</v>
      </c>
      <c r="BL95" s="55">
        <f t="shared" si="54"/>
        <v>2553</v>
      </c>
      <c r="BM95" s="61">
        <f t="shared" si="55"/>
        <v>17318</v>
      </c>
      <c r="BN95" s="57">
        <f t="shared" si="56"/>
        <v>1950</v>
      </c>
      <c r="BO95" s="55">
        <f t="shared" si="67"/>
        <v>530</v>
      </c>
      <c r="BP95" s="55">
        <v>75</v>
      </c>
      <c r="BQ95" s="55">
        <v>300</v>
      </c>
      <c r="BR95" s="55">
        <f t="shared" si="68"/>
        <v>1486</v>
      </c>
      <c r="BS95" s="50">
        <f t="shared" si="57"/>
        <v>24211.732499999998</v>
      </c>
    </row>
    <row r="96" spans="1:71" s="62" customFormat="1" ht="15.75" x14ac:dyDescent="0.25">
      <c r="A96" s="31">
        <v>88</v>
      </c>
      <c r="B96" s="32"/>
      <c r="C96" s="33" t="s">
        <v>763</v>
      </c>
      <c r="D96" s="78" t="s">
        <v>764</v>
      </c>
      <c r="E96" s="79" t="s">
        <v>765</v>
      </c>
      <c r="F96" s="35" t="s">
        <v>412</v>
      </c>
      <c r="G96" s="80" t="s">
        <v>766</v>
      </c>
      <c r="H96" s="35" t="s">
        <v>767</v>
      </c>
      <c r="I96" s="38" t="s">
        <v>752</v>
      </c>
      <c r="J96" s="82" t="s">
        <v>768</v>
      </c>
      <c r="K96" s="35" t="s">
        <v>769</v>
      </c>
      <c r="L96" s="82">
        <v>3910071680</v>
      </c>
      <c r="M96" s="35" t="s">
        <v>124</v>
      </c>
      <c r="N96" s="83" t="s">
        <v>770</v>
      </c>
      <c r="O96" s="86">
        <v>3811951772</v>
      </c>
      <c r="P96" s="82">
        <v>9890125829</v>
      </c>
      <c r="Q96" s="40"/>
      <c r="R96" s="40" t="s">
        <v>189</v>
      </c>
      <c r="S96" s="40" t="s">
        <v>88</v>
      </c>
      <c r="T96" s="45" t="s">
        <v>89</v>
      </c>
      <c r="U96" s="46" t="s">
        <v>90</v>
      </c>
      <c r="V96" s="47">
        <v>26</v>
      </c>
      <c r="W96" s="48">
        <v>0</v>
      </c>
      <c r="X96" s="48">
        <v>0</v>
      </c>
      <c r="Y96" s="49">
        <f t="shared" si="38"/>
        <v>26</v>
      </c>
      <c r="Z96" s="50"/>
      <c r="AA96" s="51"/>
      <c r="AB96" s="52">
        <f t="shared" si="39"/>
        <v>390</v>
      </c>
      <c r="AC96" s="51"/>
      <c r="AD96" s="51"/>
      <c r="AE96" s="53">
        <v>15525</v>
      </c>
      <c r="AF96" s="54">
        <f t="shared" si="40"/>
        <v>776.25</v>
      </c>
      <c r="AG96" s="53">
        <v>0</v>
      </c>
      <c r="AH96" s="53">
        <v>0</v>
      </c>
      <c r="AI96" s="55">
        <f t="shared" si="34"/>
        <v>1293.2325000000001</v>
      </c>
      <c r="AJ96" s="55">
        <f t="shared" si="58"/>
        <v>776.25</v>
      </c>
      <c r="AK96" s="50">
        <f t="shared" si="59"/>
        <v>18370.732499999998</v>
      </c>
      <c r="AL96" s="50">
        <v>1500</v>
      </c>
      <c r="AM96" s="50">
        <v>1950</v>
      </c>
      <c r="AN96" s="50">
        <f t="shared" si="60"/>
        <v>555.01875000000007</v>
      </c>
      <c r="AO96" s="50">
        <v>300</v>
      </c>
      <c r="AP96" s="50">
        <f t="shared" si="61"/>
        <v>1482.3025875000001</v>
      </c>
      <c r="AQ96" s="50">
        <f t="shared" si="62"/>
        <v>24158.053837499996</v>
      </c>
      <c r="AR96" s="52">
        <f t="shared" si="41"/>
        <v>894.74273472222205</v>
      </c>
      <c r="AS96" s="52">
        <f t="shared" si="42"/>
        <v>75.46875</v>
      </c>
      <c r="AT96" s="52">
        <f t="shared" si="43"/>
        <v>83.375988281250002</v>
      </c>
      <c r="AU96" s="50">
        <f t="shared" si="44"/>
        <v>14950</v>
      </c>
      <c r="AV96" s="50">
        <f t="shared" si="45"/>
        <v>747.5</v>
      </c>
      <c r="AW96" s="50">
        <f t="shared" si="46"/>
        <v>0</v>
      </c>
      <c r="AX96" s="50">
        <f t="shared" si="47"/>
        <v>0</v>
      </c>
      <c r="AY96" s="50">
        <f t="shared" si="48"/>
        <v>1245.335</v>
      </c>
      <c r="AZ96" s="50">
        <f t="shared" si="63"/>
        <v>747.5</v>
      </c>
      <c r="BA96" s="56">
        <f t="shared" si="49"/>
        <v>1444</v>
      </c>
      <c r="BB96" s="50">
        <f t="shared" si="50"/>
        <v>0</v>
      </c>
      <c r="BC96" s="50">
        <f t="shared" si="51"/>
        <v>0</v>
      </c>
      <c r="BD96" s="50">
        <f t="shared" si="64"/>
        <v>19134.334999999999</v>
      </c>
      <c r="BE96" s="57">
        <f t="shared" si="52"/>
        <v>1733</v>
      </c>
      <c r="BF96" s="50">
        <f t="shared" si="65"/>
        <v>118</v>
      </c>
      <c r="BG96" s="58">
        <f t="shared" si="66"/>
        <v>200</v>
      </c>
      <c r="BH96" s="55">
        <f t="shared" si="71"/>
        <v>0</v>
      </c>
      <c r="BI96" s="55">
        <f t="shared" si="71"/>
        <v>0</v>
      </c>
      <c r="BJ96" s="55">
        <f t="shared" si="53"/>
        <v>390</v>
      </c>
      <c r="BK96" s="59">
        <v>25</v>
      </c>
      <c r="BL96" s="55">
        <f t="shared" si="54"/>
        <v>2466</v>
      </c>
      <c r="BM96" s="61">
        <f t="shared" si="55"/>
        <v>16668</v>
      </c>
      <c r="BN96" s="57">
        <f t="shared" si="56"/>
        <v>1878</v>
      </c>
      <c r="BO96" s="55">
        <f t="shared" si="67"/>
        <v>510</v>
      </c>
      <c r="BP96" s="55">
        <v>75</v>
      </c>
      <c r="BQ96" s="55">
        <v>300</v>
      </c>
      <c r="BR96" s="55">
        <f t="shared" si="68"/>
        <v>1432</v>
      </c>
      <c r="BS96" s="50">
        <f t="shared" si="57"/>
        <v>23329.334999999999</v>
      </c>
    </row>
    <row r="97" spans="1:73" s="62" customFormat="1" ht="15.75" x14ac:dyDescent="0.25">
      <c r="A97" s="31">
        <v>89</v>
      </c>
      <c r="B97" s="32"/>
      <c r="C97" s="33" t="s">
        <v>771</v>
      </c>
      <c r="D97" s="78" t="s">
        <v>772</v>
      </c>
      <c r="E97" s="79" t="s">
        <v>773</v>
      </c>
      <c r="F97" s="35" t="s">
        <v>412</v>
      </c>
      <c r="G97" s="80" t="s">
        <v>774</v>
      </c>
      <c r="H97" s="35" t="s">
        <v>775</v>
      </c>
      <c r="I97" s="38" t="s">
        <v>752</v>
      </c>
      <c r="J97" s="82">
        <v>501939495006</v>
      </c>
      <c r="K97" s="35" t="s">
        <v>769</v>
      </c>
      <c r="L97" s="82">
        <v>2256636030</v>
      </c>
      <c r="M97" s="35" t="s">
        <v>124</v>
      </c>
      <c r="N97" s="83" t="s">
        <v>776</v>
      </c>
      <c r="O97" s="86">
        <v>3312812656</v>
      </c>
      <c r="P97" s="82">
        <v>8766911259</v>
      </c>
      <c r="Q97" s="40"/>
      <c r="R97" s="40" t="s">
        <v>622</v>
      </c>
      <c r="S97" s="40" t="s">
        <v>88</v>
      </c>
      <c r="T97" s="45" t="s">
        <v>89</v>
      </c>
      <c r="U97" s="46" t="s">
        <v>90</v>
      </c>
      <c r="V97" s="47">
        <v>24</v>
      </c>
      <c r="W97" s="48">
        <v>0</v>
      </c>
      <c r="X97" s="48">
        <v>0</v>
      </c>
      <c r="Y97" s="49">
        <f t="shared" si="38"/>
        <v>24</v>
      </c>
      <c r="Z97" s="50"/>
      <c r="AA97" s="51"/>
      <c r="AB97" s="52">
        <f t="shared" si="39"/>
        <v>360</v>
      </c>
      <c r="AC97" s="51"/>
      <c r="AD97" s="51"/>
      <c r="AE97" s="53">
        <v>15525</v>
      </c>
      <c r="AF97" s="54">
        <f t="shared" si="40"/>
        <v>776.25</v>
      </c>
      <c r="AG97" s="53">
        <v>0</v>
      </c>
      <c r="AH97" s="53">
        <v>0</v>
      </c>
      <c r="AI97" s="55">
        <f t="shared" si="34"/>
        <v>1293.2325000000001</v>
      </c>
      <c r="AJ97" s="55">
        <f t="shared" si="58"/>
        <v>776.25</v>
      </c>
      <c r="AK97" s="50">
        <f t="shared" si="59"/>
        <v>18370.732499999998</v>
      </c>
      <c r="AL97" s="50">
        <v>1500</v>
      </c>
      <c r="AM97" s="50">
        <v>1950</v>
      </c>
      <c r="AN97" s="50">
        <f t="shared" si="60"/>
        <v>555.01875000000007</v>
      </c>
      <c r="AO97" s="50">
        <v>300</v>
      </c>
      <c r="AP97" s="50">
        <f t="shared" si="61"/>
        <v>1482.3025875000001</v>
      </c>
      <c r="AQ97" s="50">
        <f t="shared" si="62"/>
        <v>24158.053837499996</v>
      </c>
      <c r="AR97" s="52">
        <f t="shared" si="41"/>
        <v>894.74273472222205</v>
      </c>
      <c r="AS97" s="52">
        <f t="shared" si="42"/>
        <v>75.46875</v>
      </c>
      <c r="AT97" s="52">
        <f t="shared" si="43"/>
        <v>83.375988281250002</v>
      </c>
      <c r="AU97" s="50">
        <f t="shared" si="44"/>
        <v>13800</v>
      </c>
      <c r="AV97" s="50">
        <f t="shared" si="45"/>
        <v>690</v>
      </c>
      <c r="AW97" s="50">
        <f t="shared" si="46"/>
        <v>0</v>
      </c>
      <c r="AX97" s="50">
        <f t="shared" si="47"/>
        <v>0</v>
      </c>
      <c r="AY97" s="50">
        <f t="shared" si="48"/>
        <v>1149.54</v>
      </c>
      <c r="AZ97" s="50">
        <f t="shared" si="63"/>
        <v>690</v>
      </c>
      <c r="BA97" s="56">
        <f t="shared" si="49"/>
        <v>1333</v>
      </c>
      <c r="BB97" s="50">
        <f t="shared" si="50"/>
        <v>0</v>
      </c>
      <c r="BC97" s="50">
        <f t="shared" si="51"/>
        <v>0</v>
      </c>
      <c r="BD97" s="50">
        <f t="shared" si="64"/>
        <v>17662.54</v>
      </c>
      <c r="BE97" s="57">
        <f t="shared" si="52"/>
        <v>1600</v>
      </c>
      <c r="BF97" s="50">
        <f t="shared" si="65"/>
        <v>109</v>
      </c>
      <c r="BG97" s="58">
        <f t="shared" si="66"/>
        <v>200</v>
      </c>
      <c r="BH97" s="55">
        <f t="shared" si="71"/>
        <v>0</v>
      </c>
      <c r="BI97" s="55">
        <f t="shared" si="71"/>
        <v>0</v>
      </c>
      <c r="BJ97" s="55">
        <f t="shared" si="53"/>
        <v>360</v>
      </c>
      <c r="BK97" s="59">
        <v>25</v>
      </c>
      <c r="BL97" s="55">
        <f t="shared" si="54"/>
        <v>2294</v>
      </c>
      <c r="BM97" s="61">
        <f t="shared" si="55"/>
        <v>15369</v>
      </c>
      <c r="BN97" s="57">
        <f t="shared" si="56"/>
        <v>1733</v>
      </c>
      <c r="BO97" s="55">
        <f t="shared" si="67"/>
        <v>471</v>
      </c>
      <c r="BP97" s="55">
        <v>75</v>
      </c>
      <c r="BQ97" s="55">
        <v>300</v>
      </c>
      <c r="BR97" s="55">
        <f t="shared" si="68"/>
        <v>1324</v>
      </c>
      <c r="BS97" s="50">
        <f t="shared" si="57"/>
        <v>21565.54</v>
      </c>
      <c r="BT97"/>
      <c r="BU97"/>
    </row>
    <row r="98" spans="1:73" s="62" customFormat="1" ht="15.75" x14ac:dyDescent="0.25">
      <c r="A98" s="31">
        <v>90</v>
      </c>
      <c r="B98" s="32"/>
      <c r="C98" s="33" t="s">
        <v>777</v>
      </c>
      <c r="D98" s="78" t="s">
        <v>778</v>
      </c>
      <c r="E98" s="79"/>
      <c r="F98" s="35"/>
      <c r="G98" s="80"/>
      <c r="H98" s="35"/>
      <c r="I98" s="38"/>
      <c r="J98" s="82"/>
      <c r="K98" s="35"/>
      <c r="L98" s="82"/>
      <c r="M98" s="35"/>
      <c r="N98" s="83"/>
      <c r="O98" s="86">
        <v>3811818877</v>
      </c>
      <c r="P98" s="82"/>
      <c r="Q98" s="40"/>
      <c r="R98" s="40"/>
      <c r="S98" s="45" t="s">
        <v>88</v>
      </c>
      <c r="T98" s="45" t="s">
        <v>89</v>
      </c>
      <c r="U98" s="46" t="s">
        <v>90</v>
      </c>
      <c r="V98" s="47">
        <v>26.5</v>
      </c>
      <c r="W98" s="48">
        <v>0</v>
      </c>
      <c r="X98" s="48">
        <v>0</v>
      </c>
      <c r="Y98" s="49">
        <f t="shared" si="38"/>
        <v>26.5</v>
      </c>
      <c r="Z98" s="50"/>
      <c r="AA98" s="49"/>
      <c r="AB98" s="52">
        <f t="shared" si="39"/>
        <v>397.5</v>
      </c>
      <c r="AC98" s="49"/>
      <c r="AD98" s="49"/>
      <c r="AE98" s="53">
        <v>15525</v>
      </c>
      <c r="AF98" s="54">
        <f t="shared" si="40"/>
        <v>776.25</v>
      </c>
      <c r="AG98" s="53">
        <v>0</v>
      </c>
      <c r="AH98" s="53">
        <v>0</v>
      </c>
      <c r="AI98" s="55">
        <f t="shared" si="34"/>
        <v>1293.2325000000001</v>
      </c>
      <c r="AJ98" s="55">
        <f t="shared" si="58"/>
        <v>776.25</v>
      </c>
      <c r="AK98" s="50">
        <f t="shared" si="59"/>
        <v>18370.732499999998</v>
      </c>
      <c r="AL98" s="50">
        <v>1500</v>
      </c>
      <c r="AM98" s="50">
        <v>1950</v>
      </c>
      <c r="AN98" s="50">
        <f t="shared" si="60"/>
        <v>555.01875000000007</v>
      </c>
      <c r="AO98" s="50">
        <v>300</v>
      </c>
      <c r="AP98" s="50">
        <f t="shared" si="61"/>
        <v>1482.3025875000001</v>
      </c>
      <c r="AQ98" s="50">
        <f t="shared" si="62"/>
        <v>24158.053837499996</v>
      </c>
      <c r="AR98" s="69">
        <f t="shared" si="41"/>
        <v>894.74273472222205</v>
      </c>
      <c r="AS98" s="69">
        <f t="shared" si="42"/>
        <v>75.46875</v>
      </c>
      <c r="AT98" s="69">
        <f t="shared" si="43"/>
        <v>83.375988281250002</v>
      </c>
      <c r="AU98" s="57">
        <f t="shared" si="44"/>
        <v>15237.5</v>
      </c>
      <c r="AV98" s="57">
        <f t="shared" si="45"/>
        <v>761.875</v>
      </c>
      <c r="AW98" s="57">
        <f t="shared" si="46"/>
        <v>0</v>
      </c>
      <c r="AX98" s="50">
        <f t="shared" si="47"/>
        <v>0</v>
      </c>
      <c r="AY98" s="50">
        <f t="shared" si="48"/>
        <v>1269.2837500000001</v>
      </c>
      <c r="AZ98" s="50">
        <f t="shared" si="63"/>
        <v>761.875</v>
      </c>
      <c r="BA98" s="56">
        <f t="shared" si="49"/>
        <v>1472</v>
      </c>
      <c r="BB98" s="57">
        <f t="shared" si="50"/>
        <v>0</v>
      </c>
      <c r="BC98" s="57">
        <f t="shared" si="51"/>
        <v>0</v>
      </c>
      <c r="BD98" s="50">
        <f t="shared" si="64"/>
        <v>19502.533749999999</v>
      </c>
      <c r="BE98" s="57">
        <f t="shared" si="52"/>
        <v>1767</v>
      </c>
      <c r="BF98" s="50">
        <f t="shared" si="65"/>
        <v>120</v>
      </c>
      <c r="BG98" s="58">
        <f t="shared" si="66"/>
        <v>200</v>
      </c>
      <c r="BH98" s="60">
        <f t="shared" si="71"/>
        <v>0</v>
      </c>
      <c r="BI98" s="60">
        <f t="shared" si="71"/>
        <v>0</v>
      </c>
      <c r="BJ98" s="60">
        <f t="shared" si="53"/>
        <v>397.5</v>
      </c>
      <c r="BK98" s="59">
        <v>25</v>
      </c>
      <c r="BL98" s="60">
        <f t="shared" si="54"/>
        <v>2509.5</v>
      </c>
      <c r="BM98" s="61">
        <f t="shared" si="55"/>
        <v>16993</v>
      </c>
      <c r="BN98" s="57">
        <f t="shared" si="56"/>
        <v>1914</v>
      </c>
      <c r="BO98" s="55">
        <f t="shared" si="67"/>
        <v>520</v>
      </c>
      <c r="BP98" s="55">
        <v>75</v>
      </c>
      <c r="BQ98" s="55">
        <v>300</v>
      </c>
      <c r="BR98" s="55">
        <f t="shared" si="68"/>
        <v>1459</v>
      </c>
      <c r="BS98" s="50">
        <f t="shared" si="57"/>
        <v>23770.533749999999</v>
      </c>
      <c r="BT98" s="2"/>
      <c r="BU98" s="2"/>
    </row>
    <row r="99" spans="1:73" s="62" customFormat="1" ht="15.75" x14ac:dyDescent="0.25">
      <c r="A99" s="31">
        <v>91</v>
      </c>
      <c r="B99" s="32"/>
      <c r="C99" s="33" t="s">
        <v>779</v>
      </c>
      <c r="D99" s="78" t="s">
        <v>780</v>
      </c>
      <c r="E99" s="79" t="s">
        <v>781</v>
      </c>
      <c r="F99" s="35" t="s">
        <v>412</v>
      </c>
      <c r="G99" s="80" t="s">
        <v>782</v>
      </c>
      <c r="H99" s="35" t="s">
        <v>783</v>
      </c>
      <c r="I99" s="38" t="s">
        <v>784</v>
      </c>
      <c r="J99" s="82">
        <v>410478305812</v>
      </c>
      <c r="K99" s="35" t="s">
        <v>82</v>
      </c>
      <c r="L99" s="82">
        <v>80015954488</v>
      </c>
      <c r="M99" s="35" t="s">
        <v>84</v>
      </c>
      <c r="N99" s="83" t="s">
        <v>785</v>
      </c>
      <c r="O99" s="86" t="s">
        <v>786</v>
      </c>
      <c r="P99" s="82">
        <v>9325150924</v>
      </c>
      <c r="Q99" s="40"/>
      <c r="R99" s="40" t="s">
        <v>787</v>
      </c>
      <c r="S99" s="40" t="s">
        <v>640</v>
      </c>
      <c r="T99" s="45" t="s">
        <v>641</v>
      </c>
      <c r="U99" s="46" t="s">
        <v>90</v>
      </c>
      <c r="V99" s="47">
        <v>23</v>
      </c>
      <c r="W99" s="48">
        <v>0</v>
      </c>
      <c r="X99" s="48">
        <v>0</v>
      </c>
      <c r="Y99" s="49">
        <f t="shared" si="38"/>
        <v>23</v>
      </c>
      <c r="Z99" s="50"/>
      <c r="AA99" s="51"/>
      <c r="AB99" s="52">
        <f t="shared" si="39"/>
        <v>345</v>
      </c>
      <c r="AC99" s="51"/>
      <c r="AD99" s="51"/>
      <c r="AE99" s="53">
        <v>15525</v>
      </c>
      <c r="AF99" s="54">
        <f t="shared" si="40"/>
        <v>776.25</v>
      </c>
      <c r="AG99" s="53">
        <v>1000</v>
      </c>
      <c r="AH99" s="53">
        <v>0</v>
      </c>
      <c r="AI99" s="55">
        <f t="shared" si="34"/>
        <v>1293.2325000000001</v>
      </c>
      <c r="AJ99" s="55">
        <f t="shared" si="58"/>
        <v>776.25</v>
      </c>
      <c r="AK99" s="50">
        <f t="shared" si="59"/>
        <v>19370.732499999998</v>
      </c>
      <c r="AL99" s="50">
        <v>1500</v>
      </c>
      <c r="AM99" s="50">
        <v>1950</v>
      </c>
      <c r="AN99" s="50">
        <f t="shared" si="60"/>
        <v>587.51875000000007</v>
      </c>
      <c r="AO99" s="50">
        <v>300</v>
      </c>
      <c r="AP99" s="50">
        <f t="shared" si="61"/>
        <v>1554.5775874999999</v>
      </c>
      <c r="AQ99" s="50">
        <f t="shared" si="62"/>
        <v>25262.828837499997</v>
      </c>
      <c r="AR99" s="52">
        <f t="shared" si="41"/>
        <v>935.66032731481471</v>
      </c>
      <c r="AS99" s="52">
        <f t="shared" si="42"/>
        <v>80.098379629629633</v>
      </c>
      <c r="AT99" s="52">
        <f t="shared" si="43"/>
        <v>88.490687355324084</v>
      </c>
      <c r="AU99" s="50">
        <f t="shared" si="44"/>
        <v>13225</v>
      </c>
      <c r="AV99" s="50">
        <f t="shared" si="45"/>
        <v>661.25</v>
      </c>
      <c r="AW99" s="50">
        <f t="shared" si="46"/>
        <v>851.85185185185185</v>
      </c>
      <c r="AX99" s="50">
        <f t="shared" si="47"/>
        <v>0</v>
      </c>
      <c r="AY99" s="50">
        <f t="shared" si="48"/>
        <v>1101.6424999999999</v>
      </c>
      <c r="AZ99" s="50">
        <f t="shared" si="63"/>
        <v>661.25</v>
      </c>
      <c r="BA99" s="56">
        <f t="shared" si="49"/>
        <v>1278</v>
      </c>
      <c r="BB99" s="50">
        <f t="shared" si="50"/>
        <v>0</v>
      </c>
      <c r="BC99" s="50">
        <f t="shared" si="51"/>
        <v>0</v>
      </c>
      <c r="BD99" s="50">
        <f t="shared" si="64"/>
        <v>17778.994351851852</v>
      </c>
      <c r="BE99" s="57">
        <f t="shared" si="52"/>
        <v>1533</v>
      </c>
      <c r="BF99" s="50">
        <f t="shared" si="65"/>
        <v>111</v>
      </c>
      <c r="BG99" s="58">
        <f t="shared" si="66"/>
        <v>200</v>
      </c>
      <c r="BH99" s="55">
        <f t="shared" si="71"/>
        <v>0</v>
      </c>
      <c r="BI99" s="55">
        <f t="shared" si="71"/>
        <v>0</v>
      </c>
      <c r="BJ99" s="55">
        <f t="shared" si="53"/>
        <v>345</v>
      </c>
      <c r="BK99" s="59">
        <v>25</v>
      </c>
      <c r="BL99" s="55">
        <f t="shared" si="54"/>
        <v>2214</v>
      </c>
      <c r="BM99" s="61">
        <f t="shared" si="55"/>
        <v>15565</v>
      </c>
      <c r="BN99" s="57">
        <f t="shared" si="56"/>
        <v>1661</v>
      </c>
      <c r="BO99" s="55">
        <f t="shared" si="67"/>
        <v>479</v>
      </c>
      <c r="BP99" s="55">
        <v>75</v>
      </c>
      <c r="BQ99" s="55">
        <v>300</v>
      </c>
      <c r="BR99" s="55">
        <f t="shared" si="68"/>
        <v>1331</v>
      </c>
      <c r="BS99" s="50">
        <f t="shared" si="57"/>
        <v>21624.994351851852</v>
      </c>
    </row>
    <row r="100" spans="1:73" s="62" customFormat="1" ht="15.75" x14ac:dyDescent="0.25">
      <c r="A100" s="31">
        <v>92</v>
      </c>
      <c r="B100" s="32"/>
      <c r="C100" s="33" t="s">
        <v>788</v>
      </c>
      <c r="D100" s="78" t="s">
        <v>789</v>
      </c>
      <c r="E100" s="79" t="s">
        <v>790</v>
      </c>
      <c r="F100" s="35" t="s">
        <v>412</v>
      </c>
      <c r="G100" s="80" t="s">
        <v>791</v>
      </c>
      <c r="H100" s="35" t="s">
        <v>792</v>
      </c>
      <c r="I100" s="38" t="s">
        <v>793</v>
      </c>
      <c r="J100" s="82">
        <v>862459417808</v>
      </c>
      <c r="K100" s="35" t="s">
        <v>96</v>
      </c>
      <c r="L100" s="82">
        <v>36472139926</v>
      </c>
      <c r="M100" s="35" t="s">
        <v>98</v>
      </c>
      <c r="N100" s="83" t="s">
        <v>794</v>
      </c>
      <c r="O100" s="86">
        <v>2505112404</v>
      </c>
      <c r="P100" s="82">
        <v>7620028033</v>
      </c>
      <c r="Q100" s="40"/>
      <c r="R100" s="40" t="s">
        <v>639</v>
      </c>
      <c r="S100" s="40" t="s">
        <v>88</v>
      </c>
      <c r="T100" s="45" t="s">
        <v>89</v>
      </c>
      <c r="U100" s="46" t="s">
        <v>90</v>
      </c>
      <c r="V100" s="47">
        <v>25.5</v>
      </c>
      <c r="W100" s="48">
        <v>0</v>
      </c>
      <c r="X100" s="48">
        <v>0</v>
      </c>
      <c r="Y100" s="49">
        <f t="shared" si="38"/>
        <v>25.5</v>
      </c>
      <c r="Z100" s="50"/>
      <c r="AA100" s="51"/>
      <c r="AB100" s="52">
        <f t="shared" si="39"/>
        <v>382.5</v>
      </c>
      <c r="AC100" s="51"/>
      <c r="AD100" s="51"/>
      <c r="AE100" s="53">
        <v>15525</v>
      </c>
      <c r="AF100" s="54">
        <f t="shared" si="40"/>
        <v>776.25</v>
      </c>
      <c r="AG100" s="53">
        <v>0</v>
      </c>
      <c r="AH100" s="53">
        <v>0</v>
      </c>
      <c r="AI100" s="55">
        <f t="shared" si="34"/>
        <v>1293.2325000000001</v>
      </c>
      <c r="AJ100" s="55">
        <f t="shared" si="58"/>
        <v>776.25</v>
      </c>
      <c r="AK100" s="50">
        <f t="shared" si="59"/>
        <v>18370.732499999998</v>
      </c>
      <c r="AL100" s="50">
        <v>1500</v>
      </c>
      <c r="AM100" s="50">
        <v>1950</v>
      </c>
      <c r="AN100" s="50">
        <f t="shared" si="60"/>
        <v>555.01875000000007</v>
      </c>
      <c r="AO100" s="50">
        <v>300</v>
      </c>
      <c r="AP100" s="50">
        <f t="shared" si="61"/>
        <v>1482.3025875000001</v>
      </c>
      <c r="AQ100" s="50">
        <f t="shared" si="62"/>
        <v>24158.053837499996</v>
      </c>
      <c r="AR100" s="52">
        <f t="shared" si="41"/>
        <v>894.74273472222205</v>
      </c>
      <c r="AS100" s="52">
        <f t="shared" si="42"/>
        <v>75.46875</v>
      </c>
      <c r="AT100" s="52">
        <f t="shared" si="43"/>
        <v>83.375988281250002</v>
      </c>
      <c r="AU100" s="50">
        <f t="shared" si="44"/>
        <v>14662.5</v>
      </c>
      <c r="AV100" s="50">
        <f t="shared" si="45"/>
        <v>733.125</v>
      </c>
      <c r="AW100" s="50">
        <f t="shared" si="46"/>
        <v>0</v>
      </c>
      <c r="AX100" s="50">
        <f t="shared" si="47"/>
        <v>0</v>
      </c>
      <c r="AY100" s="50">
        <f t="shared" si="48"/>
        <v>1221.38625</v>
      </c>
      <c r="AZ100" s="50">
        <f t="shared" si="63"/>
        <v>733.125</v>
      </c>
      <c r="BA100" s="56">
        <f t="shared" si="49"/>
        <v>1417</v>
      </c>
      <c r="BB100" s="50">
        <f t="shared" si="50"/>
        <v>0</v>
      </c>
      <c r="BC100" s="50">
        <f t="shared" si="51"/>
        <v>0</v>
      </c>
      <c r="BD100" s="50">
        <f t="shared" si="64"/>
        <v>18767.13625</v>
      </c>
      <c r="BE100" s="57">
        <f t="shared" si="52"/>
        <v>1700</v>
      </c>
      <c r="BF100" s="50">
        <f t="shared" si="65"/>
        <v>116</v>
      </c>
      <c r="BG100" s="58">
        <f t="shared" si="66"/>
        <v>200</v>
      </c>
      <c r="BH100" s="55">
        <f t="shared" si="71"/>
        <v>0</v>
      </c>
      <c r="BI100" s="55">
        <f t="shared" si="71"/>
        <v>0</v>
      </c>
      <c r="BJ100" s="55">
        <f t="shared" si="53"/>
        <v>382.5</v>
      </c>
      <c r="BK100" s="59">
        <v>25</v>
      </c>
      <c r="BL100" s="55">
        <f t="shared" si="54"/>
        <v>2423.5</v>
      </c>
      <c r="BM100" s="61">
        <f t="shared" si="55"/>
        <v>16344</v>
      </c>
      <c r="BN100" s="57">
        <f t="shared" si="56"/>
        <v>1842</v>
      </c>
      <c r="BO100" s="55">
        <f t="shared" si="67"/>
        <v>500</v>
      </c>
      <c r="BP100" s="55">
        <v>75</v>
      </c>
      <c r="BQ100" s="55">
        <v>300</v>
      </c>
      <c r="BR100" s="55">
        <f t="shared" si="68"/>
        <v>1405</v>
      </c>
      <c r="BS100" s="50">
        <f t="shared" si="57"/>
        <v>22889.13625</v>
      </c>
    </row>
    <row r="101" spans="1:73" s="62" customFormat="1" ht="15.75" x14ac:dyDescent="0.25">
      <c r="A101" s="31">
        <v>93</v>
      </c>
      <c r="B101" s="32"/>
      <c r="C101" s="33" t="s">
        <v>795</v>
      </c>
      <c r="D101" s="78" t="s">
        <v>796</v>
      </c>
      <c r="E101" s="79" t="s">
        <v>797</v>
      </c>
      <c r="F101" s="35" t="s">
        <v>412</v>
      </c>
      <c r="G101" s="80" t="s">
        <v>791</v>
      </c>
      <c r="H101" s="35" t="s">
        <v>792</v>
      </c>
      <c r="I101" s="38" t="s">
        <v>798</v>
      </c>
      <c r="J101" s="82">
        <v>982860864200</v>
      </c>
      <c r="K101" s="35" t="s">
        <v>96</v>
      </c>
      <c r="L101" s="82">
        <v>37218055440</v>
      </c>
      <c r="M101" s="35" t="s">
        <v>98</v>
      </c>
      <c r="N101" s="83" t="s">
        <v>799</v>
      </c>
      <c r="O101" s="86">
        <v>2505111405</v>
      </c>
      <c r="P101" s="82" t="s">
        <v>800</v>
      </c>
      <c r="Q101" s="40"/>
      <c r="R101" s="40" t="s">
        <v>639</v>
      </c>
      <c r="S101" s="40" t="s">
        <v>88</v>
      </c>
      <c r="T101" s="45" t="s">
        <v>89</v>
      </c>
      <c r="U101" s="46" t="s">
        <v>90</v>
      </c>
      <c r="V101" s="47">
        <v>26</v>
      </c>
      <c r="W101" s="48">
        <v>0</v>
      </c>
      <c r="X101" s="48">
        <v>0</v>
      </c>
      <c r="Y101" s="49">
        <f t="shared" si="38"/>
        <v>26</v>
      </c>
      <c r="Z101" s="50"/>
      <c r="AA101" s="51"/>
      <c r="AB101" s="52">
        <f t="shared" si="39"/>
        <v>390</v>
      </c>
      <c r="AC101" s="51"/>
      <c r="AD101" s="51"/>
      <c r="AE101" s="53">
        <v>15525</v>
      </c>
      <c r="AF101" s="54">
        <f t="shared" si="40"/>
        <v>776.25</v>
      </c>
      <c r="AG101" s="53">
        <v>0</v>
      </c>
      <c r="AH101" s="53">
        <v>0</v>
      </c>
      <c r="AI101" s="55">
        <f t="shared" si="34"/>
        <v>1293.2325000000001</v>
      </c>
      <c r="AJ101" s="55">
        <f t="shared" si="58"/>
        <v>776.25</v>
      </c>
      <c r="AK101" s="50">
        <f t="shared" si="59"/>
        <v>18370.732499999998</v>
      </c>
      <c r="AL101" s="50">
        <v>1500</v>
      </c>
      <c r="AM101" s="50">
        <v>1950</v>
      </c>
      <c r="AN101" s="50">
        <f t="shared" si="60"/>
        <v>555.01875000000007</v>
      </c>
      <c r="AO101" s="50">
        <v>300</v>
      </c>
      <c r="AP101" s="50">
        <f t="shared" si="61"/>
        <v>1482.3025875000001</v>
      </c>
      <c r="AQ101" s="50">
        <f t="shared" si="62"/>
        <v>24158.053837499996</v>
      </c>
      <c r="AR101" s="52">
        <f t="shared" si="41"/>
        <v>894.74273472222205</v>
      </c>
      <c r="AS101" s="52">
        <f t="shared" si="42"/>
        <v>75.46875</v>
      </c>
      <c r="AT101" s="52">
        <f t="shared" si="43"/>
        <v>83.375988281250002</v>
      </c>
      <c r="AU101" s="50">
        <f t="shared" si="44"/>
        <v>14950</v>
      </c>
      <c r="AV101" s="50">
        <f t="shared" si="45"/>
        <v>747.5</v>
      </c>
      <c r="AW101" s="50">
        <f t="shared" si="46"/>
        <v>0</v>
      </c>
      <c r="AX101" s="50">
        <f t="shared" si="47"/>
        <v>0</v>
      </c>
      <c r="AY101" s="50">
        <f t="shared" si="48"/>
        <v>1245.335</v>
      </c>
      <c r="AZ101" s="50">
        <f t="shared" si="63"/>
        <v>747.5</v>
      </c>
      <c r="BA101" s="56">
        <f t="shared" si="49"/>
        <v>1444</v>
      </c>
      <c r="BB101" s="50">
        <f t="shared" si="50"/>
        <v>0</v>
      </c>
      <c r="BC101" s="50">
        <f t="shared" si="51"/>
        <v>0</v>
      </c>
      <c r="BD101" s="50">
        <f t="shared" si="64"/>
        <v>19134.334999999999</v>
      </c>
      <c r="BE101" s="57">
        <f t="shared" si="52"/>
        <v>1733</v>
      </c>
      <c r="BF101" s="50">
        <f t="shared" si="65"/>
        <v>118</v>
      </c>
      <c r="BG101" s="58">
        <f t="shared" si="66"/>
        <v>200</v>
      </c>
      <c r="BH101" s="55">
        <f t="shared" si="71"/>
        <v>0</v>
      </c>
      <c r="BI101" s="55">
        <f t="shared" si="71"/>
        <v>0</v>
      </c>
      <c r="BJ101" s="55">
        <f t="shared" si="53"/>
        <v>390</v>
      </c>
      <c r="BK101" s="59">
        <v>25</v>
      </c>
      <c r="BL101" s="55">
        <f t="shared" si="54"/>
        <v>2466</v>
      </c>
      <c r="BM101" s="61">
        <f t="shared" si="55"/>
        <v>16668</v>
      </c>
      <c r="BN101" s="57">
        <f t="shared" si="56"/>
        <v>1878</v>
      </c>
      <c r="BO101" s="55">
        <f t="shared" si="67"/>
        <v>510</v>
      </c>
      <c r="BP101" s="55">
        <v>75</v>
      </c>
      <c r="BQ101" s="55">
        <v>300</v>
      </c>
      <c r="BR101" s="55">
        <f t="shared" si="68"/>
        <v>1432</v>
      </c>
      <c r="BS101" s="50">
        <f t="shared" si="57"/>
        <v>23329.334999999999</v>
      </c>
    </row>
    <row r="102" spans="1:73" s="62" customFormat="1" ht="15.75" x14ac:dyDescent="0.25">
      <c r="A102" s="31">
        <v>94</v>
      </c>
      <c r="B102" s="32"/>
      <c r="C102" s="33" t="s">
        <v>801</v>
      </c>
      <c r="D102" s="78" t="s">
        <v>802</v>
      </c>
      <c r="E102" s="79" t="s">
        <v>803</v>
      </c>
      <c r="F102" s="35" t="s">
        <v>412</v>
      </c>
      <c r="G102" s="80" t="s">
        <v>804</v>
      </c>
      <c r="H102" s="35" t="s">
        <v>805</v>
      </c>
      <c r="I102" s="38" t="s">
        <v>806</v>
      </c>
      <c r="J102" s="82">
        <v>637514812200</v>
      </c>
      <c r="K102" s="35" t="s">
        <v>96</v>
      </c>
      <c r="L102" s="82">
        <v>38299988869</v>
      </c>
      <c r="M102" s="35" t="s">
        <v>316</v>
      </c>
      <c r="N102" s="83" t="s">
        <v>807</v>
      </c>
      <c r="O102" s="86">
        <v>2505111393</v>
      </c>
      <c r="P102" s="82">
        <v>7028023415</v>
      </c>
      <c r="Q102" s="40"/>
      <c r="R102" s="40" t="s">
        <v>808</v>
      </c>
      <c r="S102" s="45" t="s">
        <v>740</v>
      </c>
      <c r="T102" s="45" t="s">
        <v>387</v>
      </c>
      <c r="U102" s="46" t="s">
        <v>90</v>
      </c>
      <c r="V102" s="47">
        <v>4</v>
      </c>
      <c r="W102" s="48">
        <v>0</v>
      </c>
      <c r="X102" s="48">
        <v>0</v>
      </c>
      <c r="Y102" s="49">
        <f t="shared" si="38"/>
        <v>4</v>
      </c>
      <c r="Z102" s="50"/>
      <c r="AA102" s="51"/>
      <c r="AB102" s="52">
        <f t="shared" si="39"/>
        <v>60</v>
      </c>
      <c r="AC102" s="51"/>
      <c r="AD102" s="51"/>
      <c r="AE102" s="53">
        <v>15525</v>
      </c>
      <c r="AF102" s="54">
        <f t="shared" si="40"/>
        <v>776.25</v>
      </c>
      <c r="AG102" s="53">
        <v>500</v>
      </c>
      <c r="AH102" s="53">
        <v>0</v>
      </c>
      <c r="AI102" s="55">
        <f t="shared" ref="AI102:AI117" si="72">AE102*8.33%</f>
        <v>1293.2325000000001</v>
      </c>
      <c r="AJ102" s="55">
        <f t="shared" si="58"/>
        <v>776.25</v>
      </c>
      <c r="AK102" s="50">
        <f t="shared" si="59"/>
        <v>18870.732499999998</v>
      </c>
      <c r="AL102" s="50">
        <v>1500</v>
      </c>
      <c r="AM102" s="50">
        <v>1950</v>
      </c>
      <c r="AN102" s="50">
        <f t="shared" si="60"/>
        <v>571.26875000000007</v>
      </c>
      <c r="AO102" s="50">
        <v>300</v>
      </c>
      <c r="AP102" s="50">
        <f t="shared" si="61"/>
        <v>1518.4400874999999</v>
      </c>
      <c r="AQ102" s="50">
        <f t="shared" si="62"/>
        <v>24710.441337499997</v>
      </c>
      <c r="AR102" s="52">
        <f t="shared" si="41"/>
        <v>915.20153101851838</v>
      </c>
      <c r="AS102" s="52">
        <f t="shared" si="42"/>
        <v>77.78356481481481</v>
      </c>
      <c r="AT102" s="52">
        <f t="shared" si="43"/>
        <v>85.933337818287043</v>
      </c>
      <c r="AU102" s="50">
        <f t="shared" si="44"/>
        <v>2300</v>
      </c>
      <c r="AV102" s="50">
        <f t="shared" si="45"/>
        <v>115</v>
      </c>
      <c r="AW102" s="50">
        <f t="shared" si="46"/>
        <v>74.074074074074076</v>
      </c>
      <c r="AX102" s="50">
        <f t="shared" si="47"/>
        <v>0</v>
      </c>
      <c r="AY102" s="50">
        <f t="shared" si="48"/>
        <v>191.59</v>
      </c>
      <c r="AZ102" s="50">
        <f t="shared" si="63"/>
        <v>115</v>
      </c>
      <c r="BA102" s="56">
        <f t="shared" si="49"/>
        <v>222</v>
      </c>
      <c r="BB102" s="50">
        <f t="shared" si="50"/>
        <v>0</v>
      </c>
      <c r="BC102" s="50">
        <f t="shared" si="51"/>
        <v>0</v>
      </c>
      <c r="BD102" s="50">
        <f t="shared" si="64"/>
        <v>3017.6640740740741</v>
      </c>
      <c r="BE102" s="57">
        <f t="shared" si="52"/>
        <v>267</v>
      </c>
      <c r="BF102" s="50">
        <f t="shared" si="65"/>
        <v>19</v>
      </c>
      <c r="BG102" s="58">
        <f t="shared" si="66"/>
        <v>0</v>
      </c>
      <c r="BH102" s="55">
        <f t="shared" si="71"/>
        <v>0</v>
      </c>
      <c r="BI102" s="55">
        <f t="shared" si="71"/>
        <v>0</v>
      </c>
      <c r="BJ102" s="55">
        <f t="shared" si="53"/>
        <v>60</v>
      </c>
      <c r="BK102" s="59">
        <v>25</v>
      </c>
      <c r="BL102" s="55">
        <f t="shared" si="54"/>
        <v>371</v>
      </c>
      <c r="BM102" s="61">
        <f t="shared" si="55"/>
        <v>2647</v>
      </c>
      <c r="BN102" s="57">
        <f t="shared" si="56"/>
        <v>289</v>
      </c>
      <c r="BO102" s="55">
        <f t="shared" si="67"/>
        <v>81</v>
      </c>
      <c r="BP102" s="55">
        <v>75</v>
      </c>
      <c r="BQ102" s="55">
        <v>300</v>
      </c>
      <c r="BR102" s="55">
        <f t="shared" si="68"/>
        <v>248</v>
      </c>
      <c r="BS102" s="50">
        <f t="shared" si="57"/>
        <v>4010.6640740740741</v>
      </c>
    </row>
    <row r="103" spans="1:73" s="62" customFormat="1" ht="15.75" x14ac:dyDescent="0.25">
      <c r="A103" s="31">
        <v>95</v>
      </c>
      <c r="B103" s="32"/>
      <c r="C103" s="33" t="s">
        <v>809</v>
      </c>
      <c r="D103" s="78" t="s">
        <v>810</v>
      </c>
      <c r="E103" s="79" t="s">
        <v>811</v>
      </c>
      <c r="F103" s="35" t="s">
        <v>412</v>
      </c>
      <c r="G103" s="80" t="s">
        <v>812</v>
      </c>
      <c r="H103" s="35" t="s">
        <v>813</v>
      </c>
      <c r="I103" s="38" t="s">
        <v>814</v>
      </c>
      <c r="J103" s="82">
        <v>813994670685</v>
      </c>
      <c r="K103" s="35" t="s">
        <v>107</v>
      </c>
      <c r="L103" s="82">
        <v>5292093960</v>
      </c>
      <c r="M103" s="35" t="s">
        <v>108</v>
      </c>
      <c r="N103" s="83" t="s">
        <v>815</v>
      </c>
      <c r="O103" s="86">
        <v>2505124910</v>
      </c>
      <c r="P103" s="82">
        <v>8999327645</v>
      </c>
      <c r="Q103" s="40"/>
      <c r="R103" s="40" t="s">
        <v>816</v>
      </c>
      <c r="S103" s="40" t="s">
        <v>88</v>
      </c>
      <c r="T103" s="45" t="s">
        <v>89</v>
      </c>
      <c r="U103" s="46" t="s">
        <v>90</v>
      </c>
      <c r="V103" s="47">
        <v>26</v>
      </c>
      <c r="W103" s="48">
        <v>0</v>
      </c>
      <c r="X103" s="48">
        <v>0</v>
      </c>
      <c r="Y103" s="49">
        <f t="shared" si="38"/>
        <v>26</v>
      </c>
      <c r="Z103" s="50"/>
      <c r="AA103" s="51"/>
      <c r="AB103" s="52">
        <f t="shared" si="39"/>
        <v>390</v>
      </c>
      <c r="AC103" s="51"/>
      <c r="AD103" s="51"/>
      <c r="AE103" s="53">
        <v>15525</v>
      </c>
      <c r="AF103" s="54">
        <f t="shared" si="40"/>
        <v>776.25</v>
      </c>
      <c r="AG103" s="53">
        <v>0</v>
      </c>
      <c r="AH103" s="53">
        <v>0</v>
      </c>
      <c r="AI103" s="55">
        <f t="shared" si="72"/>
        <v>1293.2325000000001</v>
      </c>
      <c r="AJ103" s="55">
        <f t="shared" si="58"/>
        <v>776.25</v>
      </c>
      <c r="AK103" s="50">
        <f t="shared" si="59"/>
        <v>18370.732499999998</v>
      </c>
      <c r="AL103" s="50">
        <v>1500</v>
      </c>
      <c r="AM103" s="50">
        <v>1950</v>
      </c>
      <c r="AN103" s="50">
        <f t="shared" si="60"/>
        <v>555.01875000000007</v>
      </c>
      <c r="AO103" s="50">
        <v>300</v>
      </c>
      <c r="AP103" s="50">
        <f t="shared" si="61"/>
        <v>1482.3025875000001</v>
      </c>
      <c r="AQ103" s="50">
        <f t="shared" si="62"/>
        <v>24158.053837499996</v>
      </c>
      <c r="AR103" s="52">
        <f t="shared" si="41"/>
        <v>894.74273472222205</v>
      </c>
      <c r="AS103" s="52">
        <f t="shared" si="42"/>
        <v>75.46875</v>
      </c>
      <c r="AT103" s="52">
        <f t="shared" si="43"/>
        <v>83.375988281250002</v>
      </c>
      <c r="AU103" s="50">
        <f t="shared" si="44"/>
        <v>14950</v>
      </c>
      <c r="AV103" s="50">
        <f t="shared" si="45"/>
        <v>747.5</v>
      </c>
      <c r="AW103" s="50">
        <f t="shared" si="46"/>
        <v>0</v>
      </c>
      <c r="AX103" s="50">
        <f t="shared" si="47"/>
        <v>0</v>
      </c>
      <c r="AY103" s="50">
        <f t="shared" si="48"/>
        <v>1245.335</v>
      </c>
      <c r="AZ103" s="50">
        <f t="shared" si="63"/>
        <v>747.5</v>
      </c>
      <c r="BA103" s="56">
        <f t="shared" si="49"/>
        <v>1444</v>
      </c>
      <c r="BB103" s="50">
        <f t="shared" si="50"/>
        <v>0</v>
      </c>
      <c r="BC103" s="50">
        <f t="shared" si="51"/>
        <v>0</v>
      </c>
      <c r="BD103" s="50">
        <f t="shared" si="64"/>
        <v>19134.334999999999</v>
      </c>
      <c r="BE103" s="57">
        <f t="shared" si="52"/>
        <v>1733</v>
      </c>
      <c r="BF103" s="50">
        <f t="shared" si="65"/>
        <v>118</v>
      </c>
      <c r="BG103" s="58">
        <f t="shared" si="66"/>
        <v>200</v>
      </c>
      <c r="BH103" s="55">
        <f t="shared" si="71"/>
        <v>0</v>
      </c>
      <c r="BI103" s="55">
        <f t="shared" si="71"/>
        <v>0</v>
      </c>
      <c r="BJ103" s="55">
        <f t="shared" si="53"/>
        <v>390</v>
      </c>
      <c r="BK103" s="59">
        <v>25</v>
      </c>
      <c r="BL103" s="55">
        <f t="shared" si="54"/>
        <v>2466</v>
      </c>
      <c r="BM103" s="61">
        <f t="shared" si="55"/>
        <v>16668</v>
      </c>
      <c r="BN103" s="57">
        <f t="shared" si="56"/>
        <v>1878</v>
      </c>
      <c r="BO103" s="55">
        <f t="shared" si="67"/>
        <v>510</v>
      </c>
      <c r="BP103" s="55">
        <v>75</v>
      </c>
      <c r="BQ103" s="55">
        <v>300</v>
      </c>
      <c r="BR103" s="55">
        <f t="shared" si="68"/>
        <v>1432</v>
      </c>
      <c r="BS103" s="50">
        <f t="shared" si="57"/>
        <v>23329.334999999999</v>
      </c>
    </row>
    <row r="104" spans="1:73" s="62" customFormat="1" ht="15.75" x14ac:dyDescent="0.25">
      <c r="A104" s="31">
        <v>96</v>
      </c>
      <c r="B104" s="32"/>
      <c r="C104" s="33" t="s">
        <v>817</v>
      </c>
      <c r="D104" s="78" t="s">
        <v>818</v>
      </c>
      <c r="E104" s="79" t="s">
        <v>819</v>
      </c>
      <c r="F104" s="35" t="s">
        <v>412</v>
      </c>
      <c r="G104" s="80" t="s">
        <v>714</v>
      </c>
      <c r="H104" s="35" t="s">
        <v>820</v>
      </c>
      <c r="I104" s="38" t="s">
        <v>821</v>
      </c>
      <c r="J104" s="82">
        <v>822252510264</v>
      </c>
      <c r="K104" s="35" t="s">
        <v>822</v>
      </c>
      <c r="L104" s="66" t="s">
        <v>823</v>
      </c>
      <c r="M104" s="35" t="s">
        <v>824</v>
      </c>
      <c r="N104" s="83" t="s">
        <v>825</v>
      </c>
      <c r="O104" s="86">
        <v>2505124914</v>
      </c>
      <c r="P104" s="82">
        <v>9561075655</v>
      </c>
      <c r="Q104" s="40"/>
      <c r="R104" s="40" t="s">
        <v>826</v>
      </c>
      <c r="S104" s="45" t="s">
        <v>827</v>
      </c>
      <c r="T104" s="45" t="s">
        <v>89</v>
      </c>
      <c r="U104" s="46" t="s">
        <v>90</v>
      </c>
      <c r="V104" s="47">
        <v>27</v>
      </c>
      <c r="W104" s="48">
        <v>0</v>
      </c>
      <c r="X104" s="48">
        <v>0</v>
      </c>
      <c r="Y104" s="49">
        <f t="shared" si="38"/>
        <v>27</v>
      </c>
      <c r="Z104" s="50"/>
      <c r="AA104" s="51"/>
      <c r="AB104" s="52">
        <f t="shared" si="39"/>
        <v>405</v>
      </c>
      <c r="AC104" s="51"/>
      <c r="AD104" s="51"/>
      <c r="AE104" s="53">
        <v>15525</v>
      </c>
      <c r="AF104" s="54">
        <f t="shared" si="40"/>
        <v>776.25</v>
      </c>
      <c r="AG104" s="53">
        <v>0</v>
      </c>
      <c r="AH104" s="53">
        <v>0</v>
      </c>
      <c r="AI104" s="55">
        <f t="shared" si="72"/>
        <v>1293.2325000000001</v>
      </c>
      <c r="AJ104" s="55">
        <f t="shared" si="58"/>
        <v>776.25</v>
      </c>
      <c r="AK104" s="50">
        <f t="shared" si="59"/>
        <v>18370.732499999998</v>
      </c>
      <c r="AL104" s="50">
        <v>1500</v>
      </c>
      <c r="AM104" s="50">
        <v>1950</v>
      </c>
      <c r="AN104" s="50">
        <f t="shared" si="60"/>
        <v>555.01875000000007</v>
      </c>
      <c r="AO104" s="50">
        <v>300</v>
      </c>
      <c r="AP104" s="50">
        <f t="shared" si="61"/>
        <v>1482.3025875000001</v>
      </c>
      <c r="AQ104" s="50">
        <f t="shared" si="62"/>
        <v>24158.053837499996</v>
      </c>
      <c r="AR104" s="52">
        <f t="shared" si="41"/>
        <v>894.74273472222205</v>
      </c>
      <c r="AS104" s="52">
        <f t="shared" si="42"/>
        <v>75.46875</v>
      </c>
      <c r="AT104" s="52">
        <f t="shared" si="43"/>
        <v>83.375988281250002</v>
      </c>
      <c r="AU104" s="50">
        <f t="shared" si="44"/>
        <v>15525</v>
      </c>
      <c r="AV104" s="50">
        <f t="shared" si="45"/>
        <v>776.25</v>
      </c>
      <c r="AW104" s="50">
        <f t="shared" si="46"/>
        <v>0</v>
      </c>
      <c r="AX104" s="50">
        <f t="shared" si="47"/>
        <v>0</v>
      </c>
      <c r="AY104" s="50">
        <f t="shared" si="48"/>
        <v>1293.2325000000001</v>
      </c>
      <c r="AZ104" s="50">
        <f t="shared" si="63"/>
        <v>776.25</v>
      </c>
      <c r="BA104" s="56">
        <f t="shared" si="49"/>
        <v>1500</v>
      </c>
      <c r="BB104" s="50">
        <f t="shared" si="50"/>
        <v>0</v>
      </c>
      <c r="BC104" s="50">
        <f t="shared" si="51"/>
        <v>0</v>
      </c>
      <c r="BD104" s="50">
        <f t="shared" si="64"/>
        <v>19870.732499999998</v>
      </c>
      <c r="BE104" s="57">
        <f t="shared" si="52"/>
        <v>1800</v>
      </c>
      <c r="BF104" s="50">
        <f t="shared" si="65"/>
        <v>123</v>
      </c>
      <c r="BG104" s="58">
        <f t="shared" si="66"/>
        <v>200</v>
      </c>
      <c r="BH104" s="55">
        <f t="shared" si="71"/>
        <v>0</v>
      </c>
      <c r="BI104" s="55">
        <f t="shared" si="71"/>
        <v>0</v>
      </c>
      <c r="BJ104" s="55">
        <f t="shared" si="53"/>
        <v>405</v>
      </c>
      <c r="BK104" s="59">
        <v>25</v>
      </c>
      <c r="BL104" s="55">
        <f t="shared" si="54"/>
        <v>2553</v>
      </c>
      <c r="BM104" s="61">
        <f t="shared" si="55"/>
        <v>17318</v>
      </c>
      <c r="BN104" s="57">
        <f t="shared" si="56"/>
        <v>1950</v>
      </c>
      <c r="BO104" s="55">
        <f t="shared" si="67"/>
        <v>530</v>
      </c>
      <c r="BP104" s="55">
        <v>75</v>
      </c>
      <c r="BQ104" s="55">
        <v>300</v>
      </c>
      <c r="BR104" s="55">
        <f t="shared" si="68"/>
        <v>1486</v>
      </c>
      <c r="BS104" s="50">
        <f t="shared" si="57"/>
        <v>24211.732499999998</v>
      </c>
    </row>
    <row r="105" spans="1:73" s="62" customFormat="1" ht="15.75" x14ac:dyDescent="0.25">
      <c r="A105" s="31">
        <v>97</v>
      </c>
      <c r="B105" s="32"/>
      <c r="C105" s="33" t="s">
        <v>828</v>
      </c>
      <c r="D105" s="78" t="s">
        <v>829</v>
      </c>
      <c r="E105" s="79" t="s">
        <v>830</v>
      </c>
      <c r="F105" s="35" t="s">
        <v>412</v>
      </c>
      <c r="G105" s="80" t="s">
        <v>714</v>
      </c>
      <c r="H105" s="35"/>
      <c r="I105" s="38" t="s">
        <v>831</v>
      </c>
      <c r="J105" s="82">
        <v>527306028306</v>
      </c>
      <c r="K105" s="35" t="s">
        <v>96</v>
      </c>
      <c r="L105" s="82">
        <v>35027200910</v>
      </c>
      <c r="M105" s="35" t="s">
        <v>132</v>
      </c>
      <c r="N105" s="83" t="s">
        <v>832</v>
      </c>
      <c r="O105" s="86">
        <v>2505125137</v>
      </c>
      <c r="P105" s="82">
        <v>8698129992</v>
      </c>
      <c r="Q105" s="40"/>
      <c r="R105" s="40" t="s">
        <v>195</v>
      </c>
      <c r="S105" s="45" t="s">
        <v>740</v>
      </c>
      <c r="T105" s="45" t="s">
        <v>387</v>
      </c>
      <c r="U105" s="46" t="s">
        <v>90</v>
      </c>
      <c r="V105" s="47">
        <v>20</v>
      </c>
      <c r="W105" s="48">
        <v>0</v>
      </c>
      <c r="X105" s="48">
        <v>0</v>
      </c>
      <c r="Y105" s="49">
        <f t="shared" si="38"/>
        <v>20</v>
      </c>
      <c r="Z105" s="50"/>
      <c r="AA105" s="51"/>
      <c r="AB105" s="52">
        <f t="shared" si="39"/>
        <v>300</v>
      </c>
      <c r="AC105" s="51"/>
      <c r="AD105" s="51"/>
      <c r="AE105" s="53">
        <v>15525</v>
      </c>
      <c r="AF105" s="54">
        <f t="shared" si="40"/>
        <v>776.25</v>
      </c>
      <c r="AG105" s="53">
        <v>500</v>
      </c>
      <c r="AH105" s="53">
        <v>0</v>
      </c>
      <c r="AI105" s="55">
        <f t="shared" si="72"/>
        <v>1293.2325000000001</v>
      </c>
      <c r="AJ105" s="55">
        <f t="shared" si="58"/>
        <v>776.25</v>
      </c>
      <c r="AK105" s="50">
        <f t="shared" si="59"/>
        <v>18870.732499999998</v>
      </c>
      <c r="AL105" s="50">
        <v>1500</v>
      </c>
      <c r="AM105" s="50">
        <v>1950</v>
      </c>
      <c r="AN105" s="50">
        <f t="shared" si="60"/>
        <v>571.26875000000007</v>
      </c>
      <c r="AO105" s="50">
        <v>300</v>
      </c>
      <c r="AP105" s="50">
        <f t="shared" si="61"/>
        <v>1518.4400874999999</v>
      </c>
      <c r="AQ105" s="50">
        <f t="shared" si="62"/>
        <v>24710.441337499997</v>
      </c>
      <c r="AR105" s="52">
        <f t="shared" si="41"/>
        <v>915.20153101851838</v>
      </c>
      <c r="AS105" s="52">
        <f t="shared" si="42"/>
        <v>77.78356481481481</v>
      </c>
      <c r="AT105" s="52">
        <f t="shared" si="43"/>
        <v>85.933337818287043</v>
      </c>
      <c r="AU105" s="50">
        <f t="shared" si="44"/>
        <v>11500</v>
      </c>
      <c r="AV105" s="50">
        <f t="shared" si="45"/>
        <v>575</v>
      </c>
      <c r="AW105" s="50">
        <f t="shared" si="46"/>
        <v>370.37037037037038</v>
      </c>
      <c r="AX105" s="50">
        <f t="shared" si="47"/>
        <v>0</v>
      </c>
      <c r="AY105" s="50">
        <f t="shared" si="48"/>
        <v>957.95</v>
      </c>
      <c r="AZ105" s="50">
        <f t="shared" si="63"/>
        <v>575</v>
      </c>
      <c r="BA105" s="56">
        <f t="shared" si="49"/>
        <v>1111</v>
      </c>
      <c r="BB105" s="50">
        <f t="shared" si="50"/>
        <v>0</v>
      </c>
      <c r="BC105" s="50">
        <f t="shared" si="51"/>
        <v>0</v>
      </c>
      <c r="BD105" s="50">
        <f t="shared" si="64"/>
        <v>15089.320370370371</v>
      </c>
      <c r="BE105" s="57">
        <f t="shared" si="52"/>
        <v>1333</v>
      </c>
      <c r="BF105" s="50">
        <f t="shared" si="65"/>
        <v>94</v>
      </c>
      <c r="BG105" s="58">
        <f t="shared" si="66"/>
        <v>200</v>
      </c>
      <c r="BH105" s="55">
        <f t="shared" si="71"/>
        <v>0</v>
      </c>
      <c r="BI105" s="55">
        <f t="shared" si="71"/>
        <v>0</v>
      </c>
      <c r="BJ105" s="55">
        <f t="shared" si="53"/>
        <v>300</v>
      </c>
      <c r="BK105" s="59">
        <v>25</v>
      </c>
      <c r="BL105" s="55">
        <f t="shared" si="54"/>
        <v>1952</v>
      </c>
      <c r="BM105" s="61">
        <f t="shared" si="55"/>
        <v>13137</v>
      </c>
      <c r="BN105" s="57">
        <f t="shared" si="56"/>
        <v>1444</v>
      </c>
      <c r="BO105" s="55">
        <f t="shared" si="67"/>
        <v>404</v>
      </c>
      <c r="BP105" s="55">
        <v>75</v>
      </c>
      <c r="BQ105" s="55">
        <v>300</v>
      </c>
      <c r="BR105" s="55">
        <f t="shared" si="68"/>
        <v>1134</v>
      </c>
      <c r="BS105" s="50">
        <f t="shared" si="57"/>
        <v>18446.320370370369</v>
      </c>
    </row>
    <row r="106" spans="1:73" s="62" customFormat="1" ht="15.75" x14ac:dyDescent="0.25">
      <c r="A106" s="31">
        <v>98</v>
      </c>
      <c r="B106" s="32"/>
      <c r="C106" s="33" t="s">
        <v>833</v>
      </c>
      <c r="D106" s="78" t="s">
        <v>834</v>
      </c>
      <c r="E106" s="79" t="s">
        <v>835</v>
      </c>
      <c r="F106" s="35" t="s">
        <v>412</v>
      </c>
      <c r="G106" s="80" t="s">
        <v>836</v>
      </c>
      <c r="H106" s="35" t="s">
        <v>837</v>
      </c>
      <c r="I106" s="38"/>
      <c r="J106" s="82">
        <v>230129196015</v>
      </c>
      <c r="K106" s="35" t="s">
        <v>107</v>
      </c>
      <c r="L106" s="82">
        <v>5164454065</v>
      </c>
      <c r="M106" s="35" t="s">
        <v>124</v>
      </c>
      <c r="N106" s="83" t="s">
        <v>838</v>
      </c>
      <c r="O106" s="86">
        <v>2505134939</v>
      </c>
      <c r="P106" s="82">
        <v>8459122926</v>
      </c>
      <c r="Q106" s="40"/>
      <c r="R106" s="40" t="s">
        <v>826</v>
      </c>
      <c r="S106" s="45" t="s">
        <v>88</v>
      </c>
      <c r="T106" s="45" t="s">
        <v>89</v>
      </c>
      <c r="U106" s="46" t="s">
        <v>90</v>
      </c>
      <c r="V106" s="47">
        <v>27</v>
      </c>
      <c r="W106" s="48">
        <v>0</v>
      </c>
      <c r="X106" s="48">
        <v>0</v>
      </c>
      <c r="Y106" s="49">
        <f t="shared" si="38"/>
        <v>27</v>
      </c>
      <c r="Z106" s="50"/>
      <c r="AA106" s="51"/>
      <c r="AB106" s="52">
        <f t="shared" si="39"/>
        <v>405</v>
      </c>
      <c r="AC106" s="51"/>
      <c r="AD106" s="51"/>
      <c r="AE106" s="53">
        <v>15525</v>
      </c>
      <c r="AF106" s="54">
        <f t="shared" si="40"/>
        <v>776.25</v>
      </c>
      <c r="AG106" s="53">
        <v>0</v>
      </c>
      <c r="AH106" s="53">
        <v>0</v>
      </c>
      <c r="AI106" s="55">
        <f t="shared" si="72"/>
        <v>1293.2325000000001</v>
      </c>
      <c r="AJ106" s="55">
        <f t="shared" si="58"/>
        <v>776.25</v>
      </c>
      <c r="AK106" s="50">
        <f t="shared" si="59"/>
        <v>18370.732499999998</v>
      </c>
      <c r="AL106" s="50">
        <v>1500</v>
      </c>
      <c r="AM106" s="50">
        <v>1950</v>
      </c>
      <c r="AN106" s="50">
        <f t="shared" si="60"/>
        <v>555.01875000000007</v>
      </c>
      <c r="AO106" s="50">
        <v>300</v>
      </c>
      <c r="AP106" s="50">
        <f t="shared" si="61"/>
        <v>1482.3025875000001</v>
      </c>
      <c r="AQ106" s="50">
        <f t="shared" si="62"/>
        <v>24158.053837499996</v>
      </c>
      <c r="AR106" s="52">
        <f t="shared" si="41"/>
        <v>894.74273472222205</v>
      </c>
      <c r="AS106" s="52">
        <f t="shared" si="42"/>
        <v>75.46875</v>
      </c>
      <c r="AT106" s="52">
        <f t="shared" si="43"/>
        <v>83.375988281250002</v>
      </c>
      <c r="AU106" s="50">
        <f t="shared" si="44"/>
        <v>15525</v>
      </c>
      <c r="AV106" s="50">
        <f t="shared" si="45"/>
        <v>776.25</v>
      </c>
      <c r="AW106" s="50">
        <f t="shared" si="46"/>
        <v>0</v>
      </c>
      <c r="AX106" s="50">
        <f t="shared" si="47"/>
        <v>0</v>
      </c>
      <c r="AY106" s="50">
        <f t="shared" si="48"/>
        <v>1293.2325000000001</v>
      </c>
      <c r="AZ106" s="50">
        <f t="shared" si="63"/>
        <v>776.25</v>
      </c>
      <c r="BA106" s="56">
        <f t="shared" si="49"/>
        <v>1500</v>
      </c>
      <c r="BB106" s="50">
        <f t="shared" si="50"/>
        <v>0</v>
      </c>
      <c r="BC106" s="50">
        <f t="shared" si="51"/>
        <v>0</v>
      </c>
      <c r="BD106" s="50">
        <f t="shared" si="64"/>
        <v>19870.732499999998</v>
      </c>
      <c r="BE106" s="57">
        <f t="shared" si="52"/>
        <v>1800</v>
      </c>
      <c r="BF106" s="50">
        <f t="shared" si="65"/>
        <v>123</v>
      </c>
      <c r="BG106" s="58">
        <f t="shared" si="66"/>
        <v>200</v>
      </c>
      <c r="BH106" s="55">
        <f t="shared" si="71"/>
        <v>0</v>
      </c>
      <c r="BI106" s="55">
        <f t="shared" si="71"/>
        <v>0</v>
      </c>
      <c r="BJ106" s="55">
        <f t="shared" si="53"/>
        <v>405</v>
      </c>
      <c r="BK106" s="59">
        <v>25</v>
      </c>
      <c r="BL106" s="55">
        <f t="shared" si="54"/>
        <v>2553</v>
      </c>
      <c r="BM106" s="61">
        <f t="shared" si="55"/>
        <v>17318</v>
      </c>
      <c r="BN106" s="57">
        <f t="shared" si="56"/>
        <v>1950</v>
      </c>
      <c r="BO106" s="55">
        <f t="shared" si="67"/>
        <v>530</v>
      </c>
      <c r="BP106" s="55">
        <v>75</v>
      </c>
      <c r="BQ106" s="55">
        <v>300</v>
      </c>
      <c r="BR106" s="55">
        <f t="shared" si="68"/>
        <v>1486</v>
      </c>
      <c r="BS106" s="50">
        <f t="shared" si="57"/>
        <v>24211.732499999998</v>
      </c>
    </row>
    <row r="107" spans="1:73" s="62" customFormat="1" ht="15.75" x14ac:dyDescent="0.25">
      <c r="A107" s="31">
        <v>99</v>
      </c>
      <c r="B107" s="32"/>
      <c r="C107" s="33" t="s">
        <v>839</v>
      </c>
      <c r="D107" s="78" t="s">
        <v>840</v>
      </c>
      <c r="E107" s="79" t="s">
        <v>266</v>
      </c>
      <c r="F107" s="35" t="s">
        <v>412</v>
      </c>
      <c r="G107" s="80"/>
      <c r="H107" s="35" t="s">
        <v>841</v>
      </c>
      <c r="I107" s="38"/>
      <c r="J107" s="82">
        <v>642036788414</v>
      </c>
      <c r="K107" s="35" t="s">
        <v>96</v>
      </c>
      <c r="L107" s="82">
        <v>42123180582</v>
      </c>
      <c r="M107" s="35" t="s">
        <v>842</v>
      </c>
      <c r="N107" s="89" t="s">
        <v>843</v>
      </c>
      <c r="O107" s="86">
        <v>2505135524</v>
      </c>
      <c r="P107" s="82">
        <v>9356902064</v>
      </c>
      <c r="Q107" s="40"/>
      <c r="R107" s="40" t="s">
        <v>844</v>
      </c>
      <c r="S107" s="45" t="s">
        <v>386</v>
      </c>
      <c r="T107" s="45" t="s">
        <v>387</v>
      </c>
      <c r="U107" s="46" t="s">
        <v>90</v>
      </c>
      <c r="V107" s="47">
        <v>25.5</v>
      </c>
      <c r="W107" s="48">
        <v>0</v>
      </c>
      <c r="X107" s="48">
        <v>0</v>
      </c>
      <c r="Y107" s="49">
        <f t="shared" si="38"/>
        <v>25.5</v>
      </c>
      <c r="Z107" s="50"/>
      <c r="AA107" s="51"/>
      <c r="AB107" s="52">
        <f t="shared" si="39"/>
        <v>382.5</v>
      </c>
      <c r="AC107" s="51"/>
      <c r="AD107" s="51"/>
      <c r="AE107" s="53">
        <v>15525</v>
      </c>
      <c r="AF107" s="54">
        <f t="shared" si="40"/>
        <v>776.25</v>
      </c>
      <c r="AG107" s="53">
        <v>500</v>
      </c>
      <c r="AH107" s="53">
        <v>0</v>
      </c>
      <c r="AI107" s="55">
        <f t="shared" si="72"/>
        <v>1293.2325000000001</v>
      </c>
      <c r="AJ107" s="55">
        <f t="shared" si="58"/>
        <v>776.25</v>
      </c>
      <c r="AK107" s="50">
        <f t="shared" si="59"/>
        <v>18870.732499999998</v>
      </c>
      <c r="AL107" s="50">
        <v>1500</v>
      </c>
      <c r="AM107" s="50">
        <v>1950</v>
      </c>
      <c r="AN107" s="50">
        <f t="shared" si="60"/>
        <v>571.26875000000007</v>
      </c>
      <c r="AO107" s="50">
        <v>300</v>
      </c>
      <c r="AP107" s="50">
        <f t="shared" si="61"/>
        <v>1518.4400874999999</v>
      </c>
      <c r="AQ107" s="50">
        <f t="shared" si="62"/>
        <v>24710.441337499997</v>
      </c>
      <c r="AR107" s="52">
        <f t="shared" si="41"/>
        <v>915.20153101851838</v>
      </c>
      <c r="AS107" s="52">
        <f t="shared" si="42"/>
        <v>77.78356481481481</v>
      </c>
      <c r="AT107" s="52">
        <f t="shared" si="43"/>
        <v>85.933337818287043</v>
      </c>
      <c r="AU107" s="50">
        <f t="shared" si="44"/>
        <v>14662.5</v>
      </c>
      <c r="AV107" s="50">
        <f t="shared" si="45"/>
        <v>733.125</v>
      </c>
      <c r="AW107" s="50">
        <f t="shared" si="46"/>
        <v>472.22222222222223</v>
      </c>
      <c r="AX107" s="50">
        <f t="shared" si="47"/>
        <v>0</v>
      </c>
      <c r="AY107" s="50">
        <f t="shared" si="48"/>
        <v>1221.38625</v>
      </c>
      <c r="AZ107" s="50">
        <f t="shared" si="63"/>
        <v>733.125</v>
      </c>
      <c r="BA107" s="56">
        <f t="shared" si="49"/>
        <v>1417</v>
      </c>
      <c r="BB107" s="50">
        <f t="shared" si="50"/>
        <v>0</v>
      </c>
      <c r="BC107" s="50">
        <f t="shared" si="51"/>
        <v>0</v>
      </c>
      <c r="BD107" s="50">
        <f t="shared" si="64"/>
        <v>19239.358472222222</v>
      </c>
      <c r="BE107" s="57">
        <f t="shared" si="52"/>
        <v>1700</v>
      </c>
      <c r="BF107" s="50">
        <f t="shared" si="65"/>
        <v>120</v>
      </c>
      <c r="BG107" s="58">
        <f t="shared" si="66"/>
        <v>200</v>
      </c>
      <c r="BH107" s="55">
        <f t="shared" si="71"/>
        <v>0</v>
      </c>
      <c r="BI107" s="55">
        <f t="shared" si="71"/>
        <v>0</v>
      </c>
      <c r="BJ107" s="55">
        <f t="shared" si="53"/>
        <v>382.5</v>
      </c>
      <c r="BK107" s="59">
        <v>25</v>
      </c>
      <c r="BL107" s="55">
        <f t="shared" si="54"/>
        <v>2427.5</v>
      </c>
      <c r="BM107" s="61">
        <f t="shared" si="55"/>
        <v>16812</v>
      </c>
      <c r="BN107" s="57">
        <f t="shared" si="56"/>
        <v>1842</v>
      </c>
      <c r="BO107" s="55">
        <f t="shared" si="67"/>
        <v>516</v>
      </c>
      <c r="BP107" s="55">
        <v>75</v>
      </c>
      <c r="BQ107" s="55">
        <v>300</v>
      </c>
      <c r="BR107" s="55">
        <f t="shared" si="68"/>
        <v>1439</v>
      </c>
      <c r="BS107" s="50">
        <f t="shared" si="57"/>
        <v>23411.358472222222</v>
      </c>
    </row>
    <row r="108" spans="1:73" s="62" customFormat="1" ht="15.75" x14ac:dyDescent="0.25">
      <c r="A108" s="31">
        <v>100</v>
      </c>
      <c r="B108" s="32"/>
      <c r="C108" s="33" t="s">
        <v>845</v>
      </c>
      <c r="D108" s="78" t="s">
        <v>846</v>
      </c>
      <c r="E108" s="79" t="s">
        <v>847</v>
      </c>
      <c r="F108" s="35" t="s">
        <v>412</v>
      </c>
      <c r="G108" s="80" t="s">
        <v>848</v>
      </c>
      <c r="H108" s="35" t="s">
        <v>849</v>
      </c>
      <c r="I108" s="38"/>
      <c r="J108" s="82">
        <v>218981922634</v>
      </c>
      <c r="K108" s="35" t="s">
        <v>393</v>
      </c>
      <c r="L108" s="82">
        <v>50100581930930</v>
      </c>
      <c r="M108" s="35"/>
      <c r="N108" s="83" t="s">
        <v>850</v>
      </c>
      <c r="O108" s="86">
        <v>2505135297</v>
      </c>
      <c r="P108" s="82">
        <v>8208555732</v>
      </c>
      <c r="Q108" s="40"/>
      <c r="R108" s="40" t="s">
        <v>851</v>
      </c>
      <c r="S108" s="45" t="s">
        <v>88</v>
      </c>
      <c r="T108" s="45" t="s">
        <v>89</v>
      </c>
      <c r="U108" s="46" t="s">
        <v>90</v>
      </c>
      <c r="V108" s="47">
        <v>26</v>
      </c>
      <c r="W108" s="48">
        <v>0</v>
      </c>
      <c r="X108" s="48">
        <v>0</v>
      </c>
      <c r="Y108" s="49">
        <f t="shared" si="38"/>
        <v>26</v>
      </c>
      <c r="Z108" s="50"/>
      <c r="AA108" s="51"/>
      <c r="AB108" s="52">
        <f t="shared" si="39"/>
        <v>390</v>
      </c>
      <c r="AC108" s="51"/>
      <c r="AD108" s="51"/>
      <c r="AE108" s="53">
        <v>15525</v>
      </c>
      <c r="AF108" s="54">
        <f t="shared" si="40"/>
        <v>776.25</v>
      </c>
      <c r="AG108" s="53">
        <v>0</v>
      </c>
      <c r="AH108" s="53">
        <v>0</v>
      </c>
      <c r="AI108" s="55">
        <f t="shared" si="72"/>
        <v>1293.2325000000001</v>
      </c>
      <c r="AJ108" s="55">
        <f t="shared" si="58"/>
        <v>776.25</v>
      </c>
      <c r="AK108" s="50">
        <f t="shared" si="59"/>
        <v>18370.732499999998</v>
      </c>
      <c r="AL108" s="50">
        <v>1500</v>
      </c>
      <c r="AM108" s="50">
        <v>1950</v>
      </c>
      <c r="AN108" s="50">
        <f t="shared" si="60"/>
        <v>555.01875000000007</v>
      </c>
      <c r="AO108" s="50">
        <v>300</v>
      </c>
      <c r="AP108" s="50">
        <f t="shared" si="61"/>
        <v>1482.3025875000001</v>
      </c>
      <c r="AQ108" s="50">
        <f t="shared" si="62"/>
        <v>24158.053837499996</v>
      </c>
      <c r="AR108" s="52">
        <f t="shared" si="41"/>
        <v>894.74273472222205</v>
      </c>
      <c r="AS108" s="52">
        <f t="shared" si="42"/>
        <v>75.46875</v>
      </c>
      <c r="AT108" s="52">
        <f t="shared" si="43"/>
        <v>83.375988281250002</v>
      </c>
      <c r="AU108" s="50">
        <f t="shared" si="44"/>
        <v>14950</v>
      </c>
      <c r="AV108" s="50">
        <f t="shared" si="45"/>
        <v>747.5</v>
      </c>
      <c r="AW108" s="50">
        <f t="shared" si="46"/>
        <v>0</v>
      </c>
      <c r="AX108" s="50">
        <f t="shared" si="47"/>
        <v>0</v>
      </c>
      <c r="AY108" s="50">
        <f t="shared" si="48"/>
        <v>1245.335</v>
      </c>
      <c r="AZ108" s="50">
        <f t="shared" si="63"/>
        <v>747.5</v>
      </c>
      <c r="BA108" s="56">
        <f t="shared" si="49"/>
        <v>1444</v>
      </c>
      <c r="BB108" s="50">
        <f t="shared" si="50"/>
        <v>0</v>
      </c>
      <c r="BC108" s="50">
        <f t="shared" si="51"/>
        <v>0</v>
      </c>
      <c r="BD108" s="50">
        <f t="shared" si="64"/>
        <v>19134.334999999999</v>
      </c>
      <c r="BE108" s="57">
        <f t="shared" si="52"/>
        <v>1733</v>
      </c>
      <c r="BF108" s="50">
        <f t="shared" si="65"/>
        <v>118</v>
      </c>
      <c r="BG108" s="58">
        <f t="shared" si="66"/>
        <v>200</v>
      </c>
      <c r="BH108" s="55">
        <f t="shared" si="71"/>
        <v>0</v>
      </c>
      <c r="BI108" s="55">
        <f t="shared" si="71"/>
        <v>0</v>
      </c>
      <c r="BJ108" s="55">
        <f t="shared" si="53"/>
        <v>390</v>
      </c>
      <c r="BK108" s="59">
        <v>25</v>
      </c>
      <c r="BL108" s="55">
        <f t="shared" si="54"/>
        <v>2466</v>
      </c>
      <c r="BM108" s="61">
        <f t="shared" si="55"/>
        <v>16668</v>
      </c>
      <c r="BN108" s="57">
        <f t="shared" si="56"/>
        <v>1878</v>
      </c>
      <c r="BO108" s="55">
        <f t="shared" si="67"/>
        <v>510</v>
      </c>
      <c r="BP108" s="55">
        <v>75</v>
      </c>
      <c r="BQ108" s="55">
        <v>300</v>
      </c>
      <c r="BR108" s="55">
        <f t="shared" si="68"/>
        <v>1432</v>
      </c>
      <c r="BS108" s="50">
        <f t="shared" si="57"/>
        <v>23329.334999999999</v>
      </c>
    </row>
    <row r="109" spans="1:73" s="62" customFormat="1" ht="15.75" x14ac:dyDescent="0.25">
      <c r="A109" s="31">
        <v>101</v>
      </c>
      <c r="B109" s="32"/>
      <c r="C109" s="33" t="s">
        <v>852</v>
      </c>
      <c r="D109" s="78" t="s">
        <v>853</v>
      </c>
      <c r="E109" s="79" t="s">
        <v>854</v>
      </c>
      <c r="F109" s="35" t="s">
        <v>412</v>
      </c>
      <c r="G109" s="80" t="s">
        <v>714</v>
      </c>
      <c r="H109" s="35" t="s">
        <v>855</v>
      </c>
      <c r="I109" s="38"/>
      <c r="J109" s="82">
        <v>813122891034</v>
      </c>
      <c r="K109" s="35" t="s">
        <v>107</v>
      </c>
      <c r="L109" s="82">
        <v>2256650351</v>
      </c>
      <c r="M109" s="35" t="s">
        <v>124</v>
      </c>
      <c r="N109" s="83" t="s">
        <v>856</v>
      </c>
      <c r="O109" s="86">
        <v>2505135137</v>
      </c>
      <c r="P109" s="82">
        <v>9913618496</v>
      </c>
      <c r="Q109" s="40"/>
      <c r="R109" s="40" t="s">
        <v>851</v>
      </c>
      <c r="S109" s="45" t="s">
        <v>88</v>
      </c>
      <c r="T109" s="45" t="s">
        <v>89</v>
      </c>
      <c r="U109" s="46" t="s">
        <v>90</v>
      </c>
      <c r="V109" s="47">
        <v>25</v>
      </c>
      <c r="W109" s="48">
        <v>0</v>
      </c>
      <c r="X109" s="48">
        <v>0</v>
      </c>
      <c r="Y109" s="49">
        <f t="shared" si="38"/>
        <v>25</v>
      </c>
      <c r="Z109" s="50"/>
      <c r="AA109" s="51"/>
      <c r="AB109" s="52">
        <f t="shared" si="39"/>
        <v>375</v>
      </c>
      <c r="AC109" s="51"/>
      <c r="AD109" s="51"/>
      <c r="AE109" s="53">
        <v>15525</v>
      </c>
      <c r="AF109" s="54">
        <f t="shared" si="40"/>
        <v>776.25</v>
      </c>
      <c r="AG109" s="53">
        <v>0</v>
      </c>
      <c r="AH109" s="53">
        <v>0</v>
      </c>
      <c r="AI109" s="55">
        <f t="shared" si="72"/>
        <v>1293.2325000000001</v>
      </c>
      <c r="AJ109" s="55">
        <f t="shared" si="58"/>
        <v>776.25</v>
      </c>
      <c r="AK109" s="50">
        <f t="shared" si="59"/>
        <v>18370.732499999998</v>
      </c>
      <c r="AL109" s="50">
        <v>1500</v>
      </c>
      <c r="AM109" s="50">
        <v>1950</v>
      </c>
      <c r="AN109" s="50">
        <f t="shared" si="60"/>
        <v>555.01875000000007</v>
      </c>
      <c r="AO109" s="50">
        <v>300</v>
      </c>
      <c r="AP109" s="50">
        <f t="shared" si="61"/>
        <v>1482.3025875000001</v>
      </c>
      <c r="AQ109" s="50">
        <f t="shared" si="62"/>
        <v>24158.053837499996</v>
      </c>
      <c r="AR109" s="52">
        <f t="shared" si="41"/>
        <v>894.74273472222205</v>
      </c>
      <c r="AS109" s="52">
        <f t="shared" si="42"/>
        <v>75.46875</v>
      </c>
      <c r="AT109" s="52">
        <f t="shared" si="43"/>
        <v>83.375988281250002</v>
      </c>
      <c r="AU109" s="50">
        <f t="shared" si="44"/>
        <v>14375</v>
      </c>
      <c r="AV109" s="50">
        <f t="shared" si="45"/>
        <v>718.75</v>
      </c>
      <c r="AW109" s="50">
        <f t="shared" si="46"/>
        <v>0</v>
      </c>
      <c r="AX109" s="50">
        <f t="shared" si="47"/>
        <v>0</v>
      </c>
      <c r="AY109" s="50">
        <f t="shared" si="48"/>
        <v>1197.4375</v>
      </c>
      <c r="AZ109" s="50">
        <f t="shared" si="63"/>
        <v>718.75</v>
      </c>
      <c r="BA109" s="56">
        <f t="shared" si="49"/>
        <v>1389</v>
      </c>
      <c r="BB109" s="50">
        <f t="shared" si="50"/>
        <v>0</v>
      </c>
      <c r="BC109" s="50">
        <f t="shared" si="51"/>
        <v>0</v>
      </c>
      <c r="BD109" s="50">
        <f t="shared" si="64"/>
        <v>18398.9375</v>
      </c>
      <c r="BE109" s="57">
        <f t="shared" si="52"/>
        <v>1667</v>
      </c>
      <c r="BF109" s="50">
        <f t="shared" si="65"/>
        <v>114</v>
      </c>
      <c r="BG109" s="58">
        <f t="shared" si="66"/>
        <v>200</v>
      </c>
      <c r="BH109" s="55">
        <f t="shared" ref="BH109:BI117" si="73">AC109</f>
        <v>0</v>
      </c>
      <c r="BI109" s="55">
        <f t="shared" si="73"/>
        <v>0</v>
      </c>
      <c r="BJ109" s="55">
        <f t="shared" si="53"/>
        <v>375</v>
      </c>
      <c r="BK109" s="59">
        <v>25</v>
      </c>
      <c r="BL109" s="55">
        <f t="shared" si="54"/>
        <v>2381</v>
      </c>
      <c r="BM109" s="61">
        <f t="shared" si="55"/>
        <v>16018</v>
      </c>
      <c r="BN109" s="57">
        <f t="shared" si="56"/>
        <v>1806</v>
      </c>
      <c r="BO109" s="55">
        <f t="shared" si="67"/>
        <v>491</v>
      </c>
      <c r="BP109" s="55">
        <v>75</v>
      </c>
      <c r="BQ109" s="55">
        <v>300</v>
      </c>
      <c r="BR109" s="55">
        <f t="shared" si="68"/>
        <v>1378</v>
      </c>
      <c r="BS109" s="50">
        <f t="shared" si="57"/>
        <v>22448.9375</v>
      </c>
    </row>
    <row r="110" spans="1:73" s="62" customFormat="1" ht="15.75" x14ac:dyDescent="0.25">
      <c r="A110" s="31">
        <v>102</v>
      </c>
      <c r="B110" s="32"/>
      <c r="C110" s="33" t="s">
        <v>857</v>
      </c>
      <c r="D110" s="78" t="s">
        <v>858</v>
      </c>
      <c r="E110" s="79" t="s">
        <v>859</v>
      </c>
      <c r="F110" s="35" t="s">
        <v>78</v>
      </c>
      <c r="G110" s="80" t="s">
        <v>860</v>
      </c>
      <c r="H110" s="35" t="s">
        <v>861</v>
      </c>
      <c r="I110" s="38"/>
      <c r="J110" s="82">
        <v>418829186246</v>
      </c>
      <c r="K110" s="35" t="s">
        <v>107</v>
      </c>
      <c r="L110" s="82">
        <v>3998503199</v>
      </c>
      <c r="M110" s="35" t="s">
        <v>124</v>
      </c>
      <c r="N110" s="83" t="s">
        <v>862</v>
      </c>
      <c r="O110" s="86">
        <v>2505134732</v>
      </c>
      <c r="P110" s="82"/>
      <c r="Q110" s="40"/>
      <c r="R110" s="40"/>
      <c r="S110" s="45" t="s">
        <v>88</v>
      </c>
      <c r="T110" s="45" t="s">
        <v>89</v>
      </c>
      <c r="U110" s="46" t="s">
        <v>90</v>
      </c>
      <c r="V110" s="47">
        <v>24</v>
      </c>
      <c r="W110" s="48">
        <v>0</v>
      </c>
      <c r="X110" s="48">
        <v>0</v>
      </c>
      <c r="Y110" s="49">
        <f t="shared" si="38"/>
        <v>24</v>
      </c>
      <c r="Z110" s="50"/>
      <c r="AA110" s="51"/>
      <c r="AB110" s="52">
        <f t="shared" si="39"/>
        <v>360</v>
      </c>
      <c r="AC110" s="51"/>
      <c r="AD110" s="51"/>
      <c r="AE110" s="53">
        <v>15525</v>
      </c>
      <c r="AF110" s="54">
        <f t="shared" si="40"/>
        <v>776.25</v>
      </c>
      <c r="AG110" s="53">
        <v>0</v>
      </c>
      <c r="AH110" s="53">
        <v>0</v>
      </c>
      <c r="AI110" s="55">
        <f t="shared" si="72"/>
        <v>1293.2325000000001</v>
      </c>
      <c r="AJ110" s="55">
        <f t="shared" si="58"/>
        <v>776.25</v>
      </c>
      <c r="AK110" s="50">
        <f t="shared" si="59"/>
        <v>18370.732499999998</v>
      </c>
      <c r="AL110" s="50">
        <v>1500</v>
      </c>
      <c r="AM110" s="50">
        <v>1950</v>
      </c>
      <c r="AN110" s="50">
        <f t="shared" si="60"/>
        <v>555.01875000000007</v>
      </c>
      <c r="AO110" s="50">
        <v>300</v>
      </c>
      <c r="AP110" s="50">
        <f t="shared" si="61"/>
        <v>1482.3025875000001</v>
      </c>
      <c r="AQ110" s="50">
        <f t="shared" si="62"/>
        <v>24158.053837499996</v>
      </c>
      <c r="AR110" s="52">
        <f t="shared" si="41"/>
        <v>894.74273472222205</v>
      </c>
      <c r="AS110" s="52">
        <f t="shared" si="42"/>
        <v>75.46875</v>
      </c>
      <c r="AT110" s="52">
        <f t="shared" si="43"/>
        <v>83.375988281250002</v>
      </c>
      <c r="AU110" s="50">
        <f t="shared" si="44"/>
        <v>13800</v>
      </c>
      <c r="AV110" s="50">
        <f t="shared" si="45"/>
        <v>690</v>
      </c>
      <c r="AW110" s="50">
        <f t="shared" si="46"/>
        <v>0</v>
      </c>
      <c r="AX110" s="50">
        <f t="shared" si="47"/>
        <v>0</v>
      </c>
      <c r="AY110" s="50">
        <f t="shared" si="48"/>
        <v>1149.54</v>
      </c>
      <c r="AZ110" s="50">
        <f t="shared" si="63"/>
        <v>690</v>
      </c>
      <c r="BA110" s="56">
        <f t="shared" si="49"/>
        <v>1333</v>
      </c>
      <c r="BB110" s="50">
        <f t="shared" si="50"/>
        <v>0</v>
      </c>
      <c r="BC110" s="50">
        <f t="shared" si="51"/>
        <v>0</v>
      </c>
      <c r="BD110" s="50">
        <f t="shared" si="64"/>
        <v>17662.54</v>
      </c>
      <c r="BE110" s="57">
        <f t="shared" si="52"/>
        <v>1600</v>
      </c>
      <c r="BF110" s="50">
        <f t="shared" si="65"/>
        <v>109</v>
      </c>
      <c r="BG110" s="58">
        <f t="shared" si="66"/>
        <v>200</v>
      </c>
      <c r="BH110" s="55">
        <f t="shared" si="73"/>
        <v>0</v>
      </c>
      <c r="BI110" s="55">
        <f t="shared" si="73"/>
        <v>0</v>
      </c>
      <c r="BJ110" s="55">
        <f t="shared" si="53"/>
        <v>360</v>
      </c>
      <c r="BK110" s="59">
        <v>25</v>
      </c>
      <c r="BL110" s="55">
        <f t="shared" si="54"/>
        <v>2294</v>
      </c>
      <c r="BM110" s="61">
        <f t="shared" si="55"/>
        <v>15369</v>
      </c>
      <c r="BN110" s="57">
        <f t="shared" si="56"/>
        <v>1733</v>
      </c>
      <c r="BO110" s="55">
        <f t="shared" si="67"/>
        <v>471</v>
      </c>
      <c r="BP110" s="55">
        <v>75</v>
      </c>
      <c r="BQ110" s="55">
        <v>300</v>
      </c>
      <c r="BR110" s="55">
        <f t="shared" si="68"/>
        <v>1324</v>
      </c>
      <c r="BS110" s="50">
        <f t="shared" si="57"/>
        <v>21565.54</v>
      </c>
    </row>
    <row r="111" spans="1:73" s="62" customFormat="1" ht="15.75" x14ac:dyDescent="0.25">
      <c r="A111" s="31">
        <v>103</v>
      </c>
      <c r="B111" s="32"/>
      <c r="C111" s="33" t="s">
        <v>863</v>
      </c>
      <c r="D111" s="78" t="s">
        <v>864</v>
      </c>
      <c r="E111" s="79" t="s">
        <v>865</v>
      </c>
      <c r="F111" s="35" t="s">
        <v>412</v>
      </c>
      <c r="G111" s="80" t="s">
        <v>866</v>
      </c>
      <c r="H111" s="35" t="s">
        <v>867</v>
      </c>
      <c r="I111" s="38"/>
      <c r="J111" s="82">
        <v>637548633159</v>
      </c>
      <c r="K111" s="35" t="s">
        <v>96</v>
      </c>
      <c r="L111" s="82">
        <v>42505279985</v>
      </c>
      <c r="M111" s="35" t="s">
        <v>98</v>
      </c>
      <c r="N111" s="83" t="s">
        <v>868</v>
      </c>
      <c r="O111" s="86">
        <v>2505146308</v>
      </c>
      <c r="P111" s="82">
        <v>8080427665</v>
      </c>
      <c r="Q111" s="40"/>
      <c r="R111" s="40"/>
      <c r="S111" s="45" t="s">
        <v>88</v>
      </c>
      <c r="T111" s="45" t="s">
        <v>89</v>
      </c>
      <c r="U111" s="46" t="s">
        <v>90</v>
      </c>
      <c r="V111" s="47">
        <v>27</v>
      </c>
      <c r="W111" s="48">
        <v>0</v>
      </c>
      <c r="X111" s="48">
        <v>0</v>
      </c>
      <c r="Y111" s="49">
        <f t="shared" si="38"/>
        <v>27</v>
      </c>
      <c r="Z111" s="50"/>
      <c r="AA111" s="51"/>
      <c r="AB111" s="52">
        <f t="shared" si="39"/>
        <v>405</v>
      </c>
      <c r="AC111" s="51"/>
      <c r="AD111" s="51"/>
      <c r="AE111" s="53">
        <v>15525</v>
      </c>
      <c r="AF111" s="54">
        <f t="shared" si="40"/>
        <v>776.25</v>
      </c>
      <c r="AG111" s="53">
        <v>0</v>
      </c>
      <c r="AH111" s="53">
        <v>0</v>
      </c>
      <c r="AI111" s="55">
        <f t="shared" si="72"/>
        <v>1293.2325000000001</v>
      </c>
      <c r="AJ111" s="55">
        <f t="shared" si="58"/>
        <v>776.25</v>
      </c>
      <c r="AK111" s="50">
        <f t="shared" si="59"/>
        <v>18370.732499999998</v>
      </c>
      <c r="AL111" s="50">
        <v>1500</v>
      </c>
      <c r="AM111" s="50">
        <v>1950</v>
      </c>
      <c r="AN111" s="50">
        <f t="shared" si="60"/>
        <v>555.01875000000007</v>
      </c>
      <c r="AO111" s="50">
        <v>300</v>
      </c>
      <c r="AP111" s="50">
        <f t="shared" si="61"/>
        <v>1482.3025875000001</v>
      </c>
      <c r="AQ111" s="50">
        <f t="shared" si="62"/>
        <v>24158.053837499996</v>
      </c>
      <c r="AR111" s="52">
        <f t="shared" si="41"/>
        <v>894.74273472222205</v>
      </c>
      <c r="AS111" s="52">
        <f t="shared" si="42"/>
        <v>75.46875</v>
      </c>
      <c r="AT111" s="52">
        <f t="shared" si="43"/>
        <v>83.375988281250002</v>
      </c>
      <c r="AU111" s="50">
        <f t="shared" si="44"/>
        <v>15525</v>
      </c>
      <c r="AV111" s="50">
        <f t="shared" si="45"/>
        <v>776.25</v>
      </c>
      <c r="AW111" s="50">
        <f t="shared" si="46"/>
        <v>0</v>
      </c>
      <c r="AX111" s="50">
        <f t="shared" si="47"/>
        <v>0</v>
      </c>
      <c r="AY111" s="50">
        <f t="shared" si="48"/>
        <v>1293.2325000000001</v>
      </c>
      <c r="AZ111" s="50">
        <f t="shared" si="63"/>
        <v>776.25</v>
      </c>
      <c r="BA111" s="56">
        <f t="shared" si="49"/>
        <v>1500</v>
      </c>
      <c r="BB111" s="50">
        <f t="shared" si="50"/>
        <v>0</v>
      </c>
      <c r="BC111" s="50">
        <f t="shared" si="51"/>
        <v>0</v>
      </c>
      <c r="BD111" s="50">
        <f t="shared" si="64"/>
        <v>19870.732499999998</v>
      </c>
      <c r="BE111" s="57">
        <f t="shared" si="52"/>
        <v>1800</v>
      </c>
      <c r="BF111" s="50">
        <f t="shared" si="65"/>
        <v>123</v>
      </c>
      <c r="BG111" s="58">
        <f t="shared" si="66"/>
        <v>200</v>
      </c>
      <c r="BH111" s="55">
        <f t="shared" si="73"/>
        <v>0</v>
      </c>
      <c r="BI111" s="55">
        <f t="shared" si="73"/>
        <v>0</v>
      </c>
      <c r="BJ111" s="55">
        <f t="shared" si="53"/>
        <v>405</v>
      </c>
      <c r="BK111" s="59">
        <v>25</v>
      </c>
      <c r="BL111" s="55">
        <f t="shared" si="54"/>
        <v>2553</v>
      </c>
      <c r="BM111" s="61">
        <f t="shared" si="55"/>
        <v>17318</v>
      </c>
      <c r="BN111" s="57">
        <f t="shared" si="56"/>
        <v>1950</v>
      </c>
      <c r="BO111" s="55">
        <f t="shared" si="67"/>
        <v>530</v>
      </c>
      <c r="BP111" s="55">
        <v>75</v>
      </c>
      <c r="BQ111" s="55">
        <v>300</v>
      </c>
      <c r="BR111" s="55">
        <f t="shared" si="68"/>
        <v>1486</v>
      </c>
      <c r="BS111" s="50">
        <f t="shared" si="57"/>
        <v>24211.732499999998</v>
      </c>
    </row>
    <row r="112" spans="1:73" s="62" customFormat="1" ht="15.75" x14ac:dyDescent="0.25">
      <c r="A112" s="31">
        <v>104</v>
      </c>
      <c r="B112" s="32"/>
      <c r="C112" s="33" t="s">
        <v>869</v>
      </c>
      <c r="D112" s="78" t="s">
        <v>870</v>
      </c>
      <c r="E112" s="79" t="s">
        <v>871</v>
      </c>
      <c r="F112" s="35" t="s">
        <v>412</v>
      </c>
      <c r="G112" s="80" t="s">
        <v>750</v>
      </c>
      <c r="H112" s="35" t="s">
        <v>872</v>
      </c>
      <c r="I112" s="35"/>
      <c r="J112" s="82">
        <v>800505513207</v>
      </c>
      <c r="K112" s="35" t="s">
        <v>96</v>
      </c>
      <c r="L112" s="82">
        <v>43519956661</v>
      </c>
      <c r="M112" s="35" t="s">
        <v>873</v>
      </c>
      <c r="N112" s="83" t="s">
        <v>874</v>
      </c>
      <c r="O112" s="86">
        <v>2505146290</v>
      </c>
      <c r="P112" s="82">
        <v>9881528408</v>
      </c>
      <c r="Q112" s="40"/>
      <c r="R112" s="40"/>
      <c r="S112" s="45" t="s">
        <v>875</v>
      </c>
      <c r="T112" s="45" t="s">
        <v>387</v>
      </c>
      <c r="U112" s="46" t="s">
        <v>90</v>
      </c>
      <c r="V112" s="47">
        <v>27</v>
      </c>
      <c r="W112" s="48">
        <v>0</v>
      </c>
      <c r="X112" s="48">
        <v>0</v>
      </c>
      <c r="Y112" s="49">
        <f t="shared" si="38"/>
        <v>27</v>
      </c>
      <c r="Z112" s="50"/>
      <c r="AA112" s="51"/>
      <c r="AB112" s="52">
        <f t="shared" si="39"/>
        <v>405</v>
      </c>
      <c r="AC112" s="51"/>
      <c r="AD112" s="51"/>
      <c r="AE112" s="53">
        <v>15525</v>
      </c>
      <c r="AF112" s="54">
        <f t="shared" si="40"/>
        <v>776.25</v>
      </c>
      <c r="AG112" s="53">
        <v>500</v>
      </c>
      <c r="AH112" s="53">
        <v>0</v>
      </c>
      <c r="AI112" s="55">
        <f t="shared" si="72"/>
        <v>1293.2325000000001</v>
      </c>
      <c r="AJ112" s="55">
        <f t="shared" si="58"/>
        <v>776.25</v>
      </c>
      <c r="AK112" s="50">
        <f t="shared" si="59"/>
        <v>18870.732499999998</v>
      </c>
      <c r="AL112" s="50">
        <v>1500</v>
      </c>
      <c r="AM112" s="50">
        <v>1950</v>
      </c>
      <c r="AN112" s="50">
        <f t="shared" si="60"/>
        <v>571.26875000000007</v>
      </c>
      <c r="AO112" s="50">
        <v>300</v>
      </c>
      <c r="AP112" s="50">
        <f t="shared" si="61"/>
        <v>1518.4400874999999</v>
      </c>
      <c r="AQ112" s="50">
        <f t="shared" si="62"/>
        <v>24710.441337499997</v>
      </c>
      <c r="AR112" s="52">
        <f t="shared" si="41"/>
        <v>915.20153101851838</v>
      </c>
      <c r="AS112" s="52">
        <f t="shared" si="42"/>
        <v>77.78356481481481</v>
      </c>
      <c r="AT112" s="52">
        <f t="shared" si="43"/>
        <v>85.933337818287043</v>
      </c>
      <c r="AU112" s="50">
        <f t="shared" si="44"/>
        <v>15525</v>
      </c>
      <c r="AV112" s="50">
        <f t="shared" si="45"/>
        <v>776.25</v>
      </c>
      <c r="AW112" s="50">
        <f t="shared" si="46"/>
        <v>500</v>
      </c>
      <c r="AX112" s="50">
        <f t="shared" si="47"/>
        <v>0</v>
      </c>
      <c r="AY112" s="50">
        <f t="shared" si="48"/>
        <v>1293.2325000000001</v>
      </c>
      <c r="AZ112" s="50">
        <f t="shared" si="63"/>
        <v>776.25</v>
      </c>
      <c r="BA112" s="56">
        <f t="shared" si="49"/>
        <v>1500</v>
      </c>
      <c r="BB112" s="50">
        <f t="shared" si="50"/>
        <v>0</v>
      </c>
      <c r="BC112" s="50">
        <f t="shared" si="51"/>
        <v>0</v>
      </c>
      <c r="BD112" s="50">
        <f t="shared" si="64"/>
        <v>20370.732499999998</v>
      </c>
      <c r="BE112" s="57">
        <f t="shared" si="52"/>
        <v>1800</v>
      </c>
      <c r="BF112" s="50">
        <f t="shared" si="65"/>
        <v>127</v>
      </c>
      <c r="BG112" s="58">
        <f t="shared" si="66"/>
        <v>200</v>
      </c>
      <c r="BH112" s="55">
        <f t="shared" si="73"/>
        <v>0</v>
      </c>
      <c r="BI112" s="55">
        <f t="shared" si="73"/>
        <v>0</v>
      </c>
      <c r="BJ112" s="55">
        <f t="shared" si="53"/>
        <v>405</v>
      </c>
      <c r="BK112" s="59">
        <v>25</v>
      </c>
      <c r="BL112" s="55">
        <f t="shared" si="54"/>
        <v>2557</v>
      </c>
      <c r="BM112" s="61">
        <f t="shared" si="55"/>
        <v>17814</v>
      </c>
      <c r="BN112" s="57">
        <f t="shared" si="56"/>
        <v>1950</v>
      </c>
      <c r="BO112" s="55">
        <f t="shared" si="67"/>
        <v>546</v>
      </c>
      <c r="BP112" s="55">
        <v>75</v>
      </c>
      <c r="BQ112" s="55">
        <v>300</v>
      </c>
      <c r="BR112" s="55">
        <f t="shared" si="68"/>
        <v>1522</v>
      </c>
      <c r="BS112" s="50">
        <f t="shared" si="57"/>
        <v>24763.732499999998</v>
      </c>
    </row>
    <row r="113" spans="1:73" s="62" customFormat="1" ht="15.75" x14ac:dyDescent="0.25">
      <c r="A113" s="31">
        <v>105</v>
      </c>
      <c r="B113" s="32"/>
      <c r="C113" s="33" t="s">
        <v>876</v>
      </c>
      <c r="D113" s="78" t="s">
        <v>877</v>
      </c>
      <c r="E113" s="79" t="s">
        <v>878</v>
      </c>
      <c r="F113" s="35" t="s">
        <v>412</v>
      </c>
      <c r="G113" s="80" t="s">
        <v>750</v>
      </c>
      <c r="H113" s="35" t="s">
        <v>879</v>
      </c>
      <c r="I113" s="35"/>
      <c r="J113" s="82">
        <v>560462265067</v>
      </c>
      <c r="K113" s="35" t="s">
        <v>648</v>
      </c>
      <c r="L113" s="82">
        <v>49601513022</v>
      </c>
      <c r="M113" s="35" t="s">
        <v>650</v>
      </c>
      <c r="N113" s="83" t="s">
        <v>880</v>
      </c>
      <c r="O113" s="86">
        <v>2505168633</v>
      </c>
      <c r="P113" s="82">
        <v>9209146363</v>
      </c>
      <c r="Q113" s="40"/>
      <c r="R113" s="40"/>
      <c r="S113" s="45" t="s">
        <v>88</v>
      </c>
      <c r="T113" s="45" t="s">
        <v>89</v>
      </c>
      <c r="U113" s="46" t="s">
        <v>90</v>
      </c>
      <c r="V113" s="47">
        <v>27</v>
      </c>
      <c r="W113" s="48">
        <v>0</v>
      </c>
      <c r="X113" s="48">
        <v>0</v>
      </c>
      <c r="Y113" s="49">
        <f t="shared" si="38"/>
        <v>27</v>
      </c>
      <c r="Z113" s="50"/>
      <c r="AA113" s="51"/>
      <c r="AB113" s="52">
        <f t="shared" si="39"/>
        <v>405</v>
      </c>
      <c r="AC113" s="51"/>
      <c r="AD113" s="51"/>
      <c r="AE113" s="53">
        <v>15525</v>
      </c>
      <c r="AF113" s="54">
        <f t="shared" si="40"/>
        <v>776.25</v>
      </c>
      <c r="AG113" s="53">
        <v>0</v>
      </c>
      <c r="AH113" s="53">
        <v>0</v>
      </c>
      <c r="AI113" s="55">
        <f t="shared" si="72"/>
        <v>1293.2325000000001</v>
      </c>
      <c r="AJ113" s="55">
        <f t="shared" si="58"/>
        <v>776.25</v>
      </c>
      <c r="AK113" s="50">
        <f t="shared" si="59"/>
        <v>18370.732499999998</v>
      </c>
      <c r="AL113" s="50">
        <v>1500</v>
      </c>
      <c r="AM113" s="50">
        <v>1950</v>
      </c>
      <c r="AN113" s="50">
        <f t="shared" si="60"/>
        <v>555.01875000000007</v>
      </c>
      <c r="AO113" s="50">
        <v>300</v>
      </c>
      <c r="AP113" s="50">
        <f t="shared" si="61"/>
        <v>1482.3025875000001</v>
      </c>
      <c r="AQ113" s="50">
        <f t="shared" si="62"/>
        <v>24158.053837499996</v>
      </c>
      <c r="AR113" s="52">
        <f t="shared" si="41"/>
        <v>894.74273472222205</v>
      </c>
      <c r="AS113" s="52">
        <f t="shared" si="42"/>
        <v>75.46875</v>
      </c>
      <c r="AT113" s="52">
        <f t="shared" si="43"/>
        <v>83.375988281250002</v>
      </c>
      <c r="AU113" s="50">
        <f t="shared" si="44"/>
        <v>15525</v>
      </c>
      <c r="AV113" s="50">
        <f t="shared" si="45"/>
        <v>776.25</v>
      </c>
      <c r="AW113" s="50">
        <f t="shared" si="46"/>
        <v>0</v>
      </c>
      <c r="AX113" s="50">
        <f t="shared" si="47"/>
        <v>0</v>
      </c>
      <c r="AY113" s="50">
        <f t="shared" si="48"/>
        <v>1293.2325000000001</v>
      </c>
      <c r="AZ113" s="50">
        <f t="shared" si="63"/>
        <v>776.25</v>
      </c>
      <c r="BA113" s="56">
        <f t="shared" si="49"/>
        <v>1500</v>
      </c>
      <c r="BB113" s="50">
        <f t="shared" si="50"/>
        <v>0</v>
      </c>
      <c r="BC113" s="50">
        <f t="shared" si="51"/>
        <v>0</v>
      </c>
      <c r="BD113" s="50">
        <f t="shared" si="64"/>
        <v>19870.732499999998</v>
      </c>
      <c r="BE113" s="57">
        <f t="shared" si="52"/>
        <v>1800</v>
      </c>
      <c r="BF113" s="50">
        <f t="shared" si="65"/>
        <v>123</v>
      </c>
      <c r="BG113" s="58">
        <f t="shared" si="66"/>
        <v>200</v>
      </c>
      <c r="BH113" s="55">
        <f t="shared" si="73"/>
        <v>0</v>
      </c>
      <c r="BI113" s="55">
        <f t="shared" si="73"/>
        <v>0</v>
      </c>
      <c r="BJ113" s="55">
        <f t="shared" si="53"/>
        <v>405</v>
      </c>
      <c r="BK113" s="59">
        <v>25</v>
      </c>
      <c r="BL113" s="55">
        <f t="shared" si="54"/>
        <v>2553</v>
      </c>
      <c r="BM113" s="61">
        <f t="shared" si="55"/>
        <v>17318</v>
      </c>
      <c r="BN113" s="57">
        <f t="shared" si="56"/>
        <v>1950</v>
      </c>
      <c r="BO113" s="55">
        <f t="shared" si="67"/>
        <v>530</v>
      </c>
      <c r="BP113" s="55">
        <v>75</v>
      </c>
      <c r="BQ113" s="55">
        <v>300</v>
      </c>
      <c r="BR113" s="55">
        <f t="shared" si="68"/>
        <v>1486</v>
      </c>
      <c r="BS113" s="50">
        <f t="shared" si="57"/>
        <v>24211.732499999998</v>
      </c>
    </row>
    <row r="114" spans="1:73" s="62" customFormat="1" ht="15.75" x14ac:dyDescent="0.25">
      <c r="A114" s="31">
        <v>106</v>
      </c>
      <c r="B114" s="32"/>
      <c r="C114" s="33" t="s">
        <v>881</v>
      </c>
      <c r="D114" s="78" t="s">
        <v>882</v>
      </c>
      <c r="E114" s="79" t="s">
        <v>883</v>
      </c>
      <c r="F114" s="35" t="s">
        <v>412</v>
      </c>
      <c r="G114" s="80" t="s">
        <v>884</v>
      </c>
      <c r="H114" s="35" t="s">
        <v>885</v>
      </c>
      <c r="I114" s="35" t="s">
        <v>886</v>
      </c>
      <c r="J114" s="82">
        <v>836511312173</v>
      </c>
      <c r="K114" s="35" t="s">
        <v>393</v>
      </c>
      <c r="L114" s="82">
        <v>50100763404630</v>
      </c>
      <c r="M114" s="35" t="s">
        <v>887</v>
      </c>
      <c r="N114" s="83" t="s">
        <v>888</v>
      </c>
      <c r="O114" s="86">
        <v>2505178233</v>
      </c>
      <c r="P114" s="82">
        <v>7743915954</v>
      </c>
      <c r="Q114" s="40"/>
      <c r="R114" s="40"/>
      <c r="S114" s="45" t="s">
        <v>88</v>
      </c>
      <c r="T114" s="45" t="s">
        <v>89</v>
      </c>
      <c r="U114" s="46" t="s">
        <v>90</v>
      </c>
      <c r="V114" s="47">
        <v>26</v>
      </c>
      <c r="W114" s="48">
        <v>0</v>
      </c>
      <c r="X114" s="48">
        <v>0</v>
      </c>
      <c r="Y114" s="49">
        <f t="shared" si="38"/>
        <v>26</v>
      </c>
      <c r="Z114" s="50"/>
      <c r="AA114" s="51"/>
      <c r="AB114" s="52">
        <f t="shared" si="39"/>
        <v>390</v>
      </c>
      <c r="AC114" s="51"/>
      <c r="AD114" s="51"/>
      <c r="AE114" s="53">
        <v>15525</v>
      </c>
      <c r="AF114" s="54">
        <f t="shared" si="40"/>
        <v>776.25</v>
      </c>
      <c r="AG114" s="53">
        <v>0</v>
      </c>
      <c r="AH114" s="53">
        <v>0</v>
      </c>
      <c r="AI114" s="55">
        <f t="shared" si="72"/>
        <v>1293.2325000000001</v>
      </c>
      <c r="AJ114" s="55">
        <f t="shared" si="58"/>
        <v>776.25</v>
      </c>
      <c r="AK114" s="50">
        <f t="shared" si="59"/>
        <v>18370.732499999998</v>
      </c>
      <c r="AL114" s="50">
        <v>1500</v>
      </c>
      <c r="AM114" s="50">
        <v>1950</v>
      </c>
      <c r="AN114" s="50">
        <f t="shared" si="60"/>
        <v>555.01875000000007</v>
      </c>
      <c r="AO114" s="50">
        <v>300</v>
      </c>
      <c r="AP114" s="50">
        <f t="shared" si="61"/>
        <v>1482.3025875000001</v>
      </c>
      <c r="AQ114" s="50">
        <f t="shared" si="62"/>
        <v>24158.053837499996</v>
      </c>
      <c r="AR114" s="52">
        <f t="shared" si="41"/>
        <v>894.74273472222205</v>
      </c>
      <c r="AS114" s="52">
        <f t="shared" si="42"/>
        <v>75.46875</v>
      </c>
      <c r="AT114" s="52">
        <f t="shared" si="43"/>
        <v>83.375988281250002</v>
      </c>
      <c r="AU114" s="50">
        <f t="shared" si="44"/>
        <v>14950</v>
      </c>
      <c r="AV114" s="50">
        <f t="shared" si="45"/>
        <v>747.5</v>
      </c>
      <c r="AW114" s="50">
        <f t="shared" si="46"/>
        <v>0</v>
      </c>
      <c r="AX114" s="50">
        <f t="shared" si="47"/>
        <v>0</v>
      </c>
      <c r="AY114" s="50">
        <f t="shared" si="48"/>
        <v>1245.335</v>
      </c>
      <c r="AZ114" s="50">
        <f t="shared" si="63"/>
        <v>747.5</v>
      </c>
      <c r="BA114" s="56">
        <f t="shared" si="49"/>
        <v>1444</v>
      </c>
      <c r="BB114" s="50">
        <f t="shared" si="50"/>
        <v>0</v>
      </c>
      <c r="BC114" s="50">
        <f t="shared" si="51"/>
        <v>0</v>
      </c>
      <c r="BD114" s="50">
        <f t="shared" si="64"/>
        <v>19134.334999999999</v>
      </c>
      <c r="BE114" s="57">
        <f t="shared" si="52"/>
        <v>1733</v>
      </c>
      <c r="BF114" s="50">
        <f t="shared" si="65"/>
        <v>118</v>
      </c>
      <c r="BG114" s="58">
        <f t="shared" si="66"/>
        <v>200</v>
      </c>
      <c r="BH114" s="55">
        <f t="shared" si="73"/>
        <v>0</v>
      </c>
      <c r="BI114" s="55">
        <f t="shared" si="73"/>
        <v>0</v>
      </c>
      <c r="BJ114" s="55">
        <f t="shared" si="53"/>
        <v>390</v>
      </c>
      <c r="BK114" s="59">
        <v>25</v>
      </c>
      <c r="BL114" s="55">
        <f t="shared" si="54"/>
        <v>2466</v>
      </c>
      <c r="BM114" s="61">
        <f t="shared" si="55"/>
        <v>16668</v>
      </c>
      <c r="BN114" s="57">
        <f t="shared" si="56"/>
        <v>1878</v>
      </c>
      <c r="BO114" s="55">
        <f t="shared" si="67"/>
        <v>510</v>
      </c>
      <c r="BP114" s="55">
        <v>75</v>
      </c>
      <c r="BQ114" s="55">
        <v>300</v>
      </c>
      <c r="BR114" s="55">
        <f t="shared" si="68"/>
        <v>1432</v>
      </c>
      <c r="BS114" s="50">
        <f t="shared" si="57"/>
        <v>23329.334999999999</v>
      </c>
    </row>
    <row r="115" spans="1:73" s="62" customFormat="1" ht="15.75" x14ac:dyDescent="0.25">
      <c r="A115" s="31">
        <v>107</v>
      </c>
      <c r="B115" s="32"/>
      <c r="C115" s="33" t="s">
        <v>889</v>
      </c>
      <c r="D115" s="78" t="s">
        <v>890</v>
      </c>
      <c r="E115" s="79" t="s">
        <v>891</v>
      </c>
      <c r="F115" s="35" t="s">
        <v>412</v>
      </c>
      <c r="G115" s="80" t="s">
        <v>892</v>
      </c>
      <c r="H115" s="35" t="s">
        <v>893</v>
      </c>
      <c r="I115" s="35" t="s">
        <v>886</v>
      </c>
      <c r="J115" s="82">
        <v>594612390744</v>
      </c>
      <c r="K115" s="35" t="s">
        <v>107</v>
      </c>
      <c r="L115" s="35">
        <v>2991443166</v>
      </c>
      <c r="M115" s="35"/>
      <c r="N115" s="83" t="s">
        <v>894</v>
      </c>
      <c r="O115" s="86">
        <v>2505189511</v>
      </c>
      <c r="P115" s="82">
        <v>9699877938</v>
      </c>
      <c r="Q115" s="40"/>
      <c r="R115" s="40"/>
      <c r="S115" s="45" t="s">
        <v>88</v>
      </c>
      <c r="T115" s="45" t="s">
        <v>89</v>
      </c>
      <c r="U115" s="46" t="s">
        <v>90</v>
      </c>
      <c r="V115" s="47">
        <v>27</v>
      </c>
      <c r="W115" s="48">
        <v>0</v>
      </c>
      <c r="X115" s="48">
        <v>0</v>
      </c>
      <c r="Y115" s="49">
        <f t="shared" si="38"/>
        <v>27</v>
      </c>
      <c r="Z115" s="50"/>
      <c r="AA115" s="51"/>
      <c r="AB115" s="52">
        <f t="shared" si="39"/>
        <v>405</v>
      </c>
      <c r="AC115" s="51"/>
      <c r="AD115" s="51"/>
      <c r="AE115" s="53">
        <v>15525</v>
      </c>
      <c r="AF115" s="54">
        <f t="shared" si="40"/>
        <v>776.25</v>
      </c>
      <c r="AG115" s="53">
        <v>0</v>
      </c>
      <c r="AH115" s="53">
        <v>0</v>
      </c>
      <c r="AI115" s="55">
        <f t="shared" si="72"/>
        <v>1293.2325000000001</v>
      </c>
      <c r="AJ115" s="55">
        <f t="shared" si="58"/>
        <v>776.25</v>
      </c>
      <c r="AK115" s="50">
        <f t="shared" si="59"/>
        <v>18370.732499999998</v>
      </c>
      <c r="AL115" s="50">
        <v>1500</v>
      </c>
      <c r="AM115" s="50">
        <v>1950</v>
      </c>
      <c r="AN115" s="50">
        <f t="shared" si="60"/>
        <v>555.01875000000007</v>
      </c>
      <c r="AO115" s="50">
        <v>300</v>
      </c>
      <c r="AP115" s="50">
        <f t="shared" si="61"/>
        <v>1482.3025875000001</v>
      </c>
      <c r="AQ115" s="50">
        <f t="shared" si="62"/>
        <v>24158.053837499996</v>
      </c>
      <c r="AR115" s="52">
        <f t="shared" si="41"/>
        <v>894.74273472222205</v>
      </c>
      <c r="AS115" s="52">
        <f t="shared" si="42"/>
        <v>75.46875</v>
      </c>
      <c r="AT115" s="52">
        <f t="shared" si="43"/>
        <v>83.375988281250002</v>
      </c>
      <c r="AU115" s="50">
        <f t="shared" si="44"/>
        <v>15525</v>
      </c>
      <c r="AV115" s="50">
        <f t="shared" si="45"/>
        <v>776.25</v>
      </c>
      <c r="AW115" s="50">
        <f t="shared" si="46"/>
        <v>0</v>
      </c>
      <c r="AX115" s="50">
        <f t="shared" si="47"/>
        <v>0</v>
      </c>
      <c r="AY115" s="50">
        <f t="shared" si="48"/>
        <v>1293.2325000000001</v>
      </c>
      <c r="AZ115" s="50">
        <f t="shared" si="63"/>
        <v>776.25</v>
      </c>
      <c r="BA115" s="56">
        <f t="shared" si="49"/>
        <v>1500</v>
      </c>
      <c r="BB115" s="50">
        <f t="shared" si="50"/>
        <v>0</v>
      </c>
      <c r="BC115" s="50">
        <f t="shared" si="51"/>
        <v>0</v>
      </c>
      <c r="BD115" s="50">
        <f t="shared" si="64"/>
        <v>19870.732499999998</v>
      </c>
      <c r="BE115" s="57">
        <f t="shared" si="52"/>
        <v>1800</v>
      </c>
      <c r="BF115" s="50">
        <f t="shared" si="65"/>
        <v>123</v>
      </c>
      <c r="BG115" s="58">
        <f t="shared" si="66"/>
        <v>200</v>
      </c>
      <c r="BH115" s="55">
        <f t="shared" si="73"/>
        <v>0</v>
      </c>
      <c r="BI115" s="55">
        <f t="shared" si="73"/>
        <v>0</v>
      </c>
      <c r="BJ115" s="55">
        <f t="shared" si="53"/>
        <v>405</v>
      </c>
      <c r="BK115" s="59">
        <v>25</v>
      </c>
      <c r="BL115" s="55">
        <f t="shared" si="54"/>
        <v>2553</v>
      </c>
      <c r="BM115" s="61">
        <f t="shared" si="55"/>
        <v>17318</v>
      </c>
      <c r="BN115" s="57">
        <f t="shared" si="56"/>
        <v>1950</v>
      </c>
      <c r="BO115" s="55">
        <f t="shared" si="67"/>
        <v>530</v>
      </c>
      <c r="BP115" s="55">
        <v>75</v>
      </c>
      <c r="BQ115" s="55">
        <v>300</v>
      </c>
      <c r="BR115" s="55">
        <f t="shared" si="68"/>
        <v>1486</v>
      </c>
      <c r="BS115" s="50">
        <f t="shared" si="57"/>
        <v>24211.732499999998</v>
      </c>
    </row>
    <row r="116" spans="1:73" s="62" customFormat="1" ht="15.75" x14ac:dyDescent="0.25">
      <c r="A116" s="31">
        <v>108</v>
      </c>
      <c r="B116" s="32"/>
      <c r="C116" s="33" t="s">
        <v>895</v>
      </c>
      <c r="D116" s="78" t="s">
        <v>896</v>
      </c>
      <c r="E116" s="79" t="s">
        <v>897</v>
      </c>
      <c r="F116" s="35" t="s">
        <v>412</v>
      </c>
      <c r="G116" s="80" t="s">
        <v>898</v>
      </c>
      <c r="H116" s="35" t="s">
        <v>899</v>
      </c>
      <c r="I116" s="35" t="s">
        <v>886</v>
      </c>
      <c r="J116" s="82">
        <v>887102826246</v>
      </c>
      <c r="K116" s="35" t="s">
        <v>96</v>
      </c>
      <c r="L116" s="82">
        <v>41596533308</v>
      </c>
      <c r="M116" s="35" t="s">
        <v>900</v>
      </c>
      <c r="N116" s="83" t="s">
        <v>901</v>
      </c>
      <c r="O116" s="86">
        <v>2505178407</v>
      </c>
      <c r="P116" s="82">
        <v>7850077480</v>
      </c>
      <c r="Q116" s="40"/>
      <c r="R116" s="40"/>
      <c r="S116" s="45" t="s">
        <v>88</v>
      </c>
      <c r="T116" s="45" t="s">
        <v>89</v>
      </c>
      <c r="U116" s="46" t="s">
        <v>90</v>
      </c>
      <c r="V116" s="47">
        <v>26</v>
      </c>
      <c r="W116" s="48">
        <v>0</v>
      </c>
      <c r="X116" s="48">
        <v>0</v>
      </c>
      <c r="Y116" s="49">
        <f t="shared" si="38"/>
        <v>26</v>
      </c>
      <c r="Z116" s="50"/>
      <c r="AA116" s="51"/>
      <c r="AB116" s="52">
        <f t="shared" si="39"/>
        <v>390</v>
      </c>
      <c r="AC116" s="51"/>
      <c r="AD116" s="51"/>
      <c r="AE116" s="53">
        <v>15525</v>
      </c>
      <c r="AF116" s="54">
        <f t="shared" si="40"/>
        <v>776.25</v>
      </c>
      <c r="AG116" s="53">
        <v>0</v>
      </c>
      <c r="AH116" s="53">
        <v>0</v>
      </c>
      <c r="AI116" s="55">
        <f t="shared" si="72"/>
        <v>1293.2325000000001</v>
      </c>
      <c r="AJ116" s="55">
        <f t="shared" si="58"/>
        <v>776.25</v>
      </c>
      <c r="AK116" s="50">
        <f t="shared" si="59"/>
        <v>18370.732499999998</v>
      </c>
      <c r="AL116" s="50">
        <v>1500</v>
      </c>
      <c r="AM116" s="50">
        <v>1950</v>
      </c>
      <c r="AN116" s="50">
        <f t="shared" si="60"/>
        <v>555.01875000000007</v>
      </c>
      <c r="AO116" s="50">
        <v>300</v>
      </c>
      <c r="AP116" s="50">
        <f t="shared" si="61"/>
        <v>1482.3025875000001</v>
      </c>
      <c r="AQ116" s="50">
        <f t="shared" si="62"/>
        <v>24158.053837499996</v>
      </c>
      <c r="AR116" s="52">
        <f t="shared" si="41"/>
        <v>894.74273472222205</v>
      </c>
      <c r="AS116" s="52">
        <f t="shared" si="42"/>
        <v>75.46875</v>
      </c>
      <c r="AT116" s="52">
        <f t="shared" si="43"/>
        <v>83.375988281250002</v>
      </c>
      <c r="AU116" s="50">
        <f t="shared" si="44"/>
        <v>14950</v>
      </c>
      <c r="AV116" s="50">
        <f t="shared" si="45"/>
        <v>747.5</v>
      </c>
      <c r="AW116" s="50">
        <f t="shared" si="46"/>
        <v>0</v>
      </c>
      <c r="AX116" s="50">
        <f t="shared" si="47"/>
        <v>0</v>
      </c>
      <c r="AY116" s="50">
        <f t="shared" si="48"/>
        <v>1245.335</v>
      </c>
      <c r="AZ116" s="50">
        <f t="shared" si="63"/>
        <v>747.5</v>
      </c>
      <c r="BA116" s="56">
        <f t="shared" si="49"/>
        <v>1444</v>
      </c>
      <c r="BB116" s="50">
        <f t="shared" si="50"/>
        <v>0</v>
      </c>
      <c r="BC116" s="50">
        <f t="shared" si="51"/>
        <v>0</v>
      </c>
      <c r="BD116" s="50">
        <f t="shared" si="64"/>
        <v>19134.334999999999</v>
      </c>
      <c r="BE116" s="57">
        <f t="shared" si="52"/>
        <v>1733</v>
      </c>
      <c r="BF116" s="50">
        <f t="shared" si="65"/>
        <v>118</v>
      </c>
      <c r="BG116" s="58">
        <f t="shared" si="66"/>
        <v>200</v>
      </c>
      <c r="BH116" s="55">
        <f t="shared" si="73"/>
        <v>0</v>
      </c>
      <c r="BI116" s="55">
        <f t="shared" si="73"/>
        <v>0</v>
      </c>
      <c r="BJ116" s="55">
        <f t="shared" si="53"/>
        <v>390</v>
      </c>
      <c r="BK116" s="59">
        <v>25</v>
      </c>
      <c r="BL116" s="55">
        <f t="shared" si="54"/>
        <v>2466</v>
      </c>
      <c r="BM116" s="61">
        <f t="shared" si="55"/>
        <v>16668</v>
      </c>
      <c r="BN116" s="57">
        <f t="shared" si="56"/>
        <v>1878</v>
      </c>
      <c r="BO116" s="55">
        <f t="shared" si="67"/>
        <v>510</v>
      </c>
      <c r="BP116" s="55">
        <v>75</v>
      </c>
      <c r="BQ116" s="55">
        <v>300</v>
      </c>
      <c r="BR116" s="55">
        <f t="shared" si="68"/>
        <v>1432</v>
      </c>
      <c r="BS116" s="50">
        <f t="shared" si="57"/>
        <v>23329.334999999999</v>
      </c>
    </row>
    <row r="117" spans="1:73" s="62" customFormat="1" ht="15.75" x14ac:dyDescent="0.25">
      <c r="A117" s="31">
        <v>109</v>
      </c>
      <c r="B117" s="32"/>
      <c r="C117" s="33" t="s">
        <v>902</v>
      </c>
      <c r="D117" s="78" t="s">
        <v>903</v>
      </c>
      <c r="E117" s="79" t="s">
        <v>904</v>
      </c>
      <c r="F117" s="35" t="s">
        <v>412</v>
      </c>
      <c r="G117" s="80" t="s">
        <v>905</v>
      </c>
      <c r="H117" s="35" t="s">
        <v>906</v>
      </c>
      <c r="I117" s="35"/>
      <c r="J117" s="82">
        <v>793739199792</v>
      </c>
      <c r="K117" s="35" t="s">
        <v>141</v>
      </c>
      <c r="L117" s="82">
        <v>345902010077882</v>
      </c>
      <c r="M117" s="35" t="s">
        <v>173</v>
      </c>
      <c r="N117" s="83" t="s">
        <v>907</v>
      </c>
      <c r="O117" s="86">
        <v>2505194687</v>
      </c>
      <c r="P117" s="82">
        <v>7030431012</v>
      </c>
      <c r="Q117" s="40"/>
      <c r="R117" s="40"/>
      <c r="S117" s="45" t="s">
        <v>88</v>
      </c>
      <c r="T117" s="45" t="s">
        <v>89</v>
      </c>
      <c r="U117" s="46" t="s">
        <v>90</v>
      </c>
      <c r="V117" s="47">
        <v>25.5</v>
      </c>
      <c r="W117" s="48">
        <v>0</v>
      </c>
      <c r="X117" s="48">
        <v>0</v>
      </c>
      <c r="Y117" s="49">
        <f t="shared" si="38"/>
        <v>25.5</v>
      </c>
      <c r="Z117" s="50"/>
      <c r="AA117" s="51"/>
      <c r="AB117" s="52">
        <f t="shared" si="39"/>
        <v>382.5</v>
      </c>
      <c r="AC117" s="51"/>
      <c r="AD117" s="51"/>
      <c r="AE117" s="53">
        <v>15525</v>
      </c>
      <c r="AF117" s="54">
        <f t="shared" si="40"/>
        <v>776.25</v>
      </c>
      <c r="AG117" s="53">
        <v>0</v>
      </c>
      <c r="AH117" s="53">
        <v>0</v>
      </c>
      <c r="AI117" s="55">
        <f t="shared" si="72"/>
        <v>1293.2325000000001</v>
      </c>
      <c r="AJ117" s="55">
        <f t="shared" si="58"/>
        <v>776.25</v>
      </c>
      <c r="AK117" s="50">
        <f t="shared" si="59"/>
        <v>18370.732499999998</v>
      </c>
      <c r="AL117" s="50">
        <v>1500</v>
      </c>
      <c r="AM117" s="50">
        <v>1950</v>
      </c>
      <c r="AN117" s="50">
        <f t="shared" si="60"/>
        <v>555.01875000000007</v>
      </c>
      <c r="AO117" s="50">
        <v>300</v>
      </c>
      <c r="AP117" s="50">
        <f t="shared" si="61"/>
        <v>1482.3025875000001</v>
      </c>
      <c r="AQ117" s="50">
        <f t="shared" si="62"/>
        <v>24158.053837499996</v>
      </c>
      <c r="AR117" s="52">
        <f t="shared" si="41"/>
        <v>894.74273472222205</v>
      </c>
      <c r="AS117" s="52">
        <f t="shared" si="42"/>
        <v>75.46875</v>
      </c>
      <c r="AT117" s="52">
        <f t="shared" si="43"/>
        <v>83.375988281250002</v>
      </c>
      <c r="AU117" s="50">
        <f t="shared" si="44"/>
        <v>14662.5</v>
      </c>
      <c r="AV117" s="50">
        <f t="shared" si="45"/>
        <v>733.125</v>
      </c>
      <c r="AW117" s="50">
        <f t="shared" si="46"/>
        <v>0</v>
      </c>
      <c r="AX117" s="50">
        <f t="shared" si="47"/>
        <v>0</v>
      </c>
      <c r="AY117" s="50">
        <f t="shared" si="48"/>
        <v>1221.38625</v>
      </c>
      <c r="AZ117" s="50">
        <f t="shared" si="63"/>
        <v>733.125</v>
      </c>
      <c r="BA117" s="56">
        <f t="shared" si="49"/>
        <v>1417</v>
      </c>
      <c r="BB117" s="50">
        <f t="shared" si="50"/>
        <v>0</v>
      </c>
      <c r="BC117" s="50">
        <f t="shared" si="51"/>
        <v>0</v>
      </c>
      <c r="BD117" s="50">
        <f t="shared" si="64"/>
        <v>18767.13625</v>
      </c>
      <c r="BE117" s="57">
        <f t="shared" si="52"/>
        <v>1700</v>
      </c>
      <c r="BF117" s="50">
        <f t="shared" si="65"/>
        <v>116</v>
      </c>
      <c r="BG117" s="58">
        <f t="shared" si="66"/>
        <v>200</v>
      </c>
      <c r="BH117" s="55">
        <f t="shared" si="73"/>
        <v>0</v>
      </c>
      <c r="BI117" s="55">
        <f t="shared" si="73"/>
        <v>0</v>
      </c>
      <c r="BJ117" s="55">
        <f t="shared" si="53"/>
        <v>382.5</v>
      </c>
      <c r="BK117" s="59">
        <v>25</v>
      </c>
      <c r="BL117" s="55">
        <f t="shared" si="54"/>
        <v>2423.5</v>
      </c>
      <c r="BM117" s="61">
        <f t="shared" si="55"/>
        <v>16344</v>
      </c>
      <c r="BN117" s="57">
        <f t="shared" si="56"/>
        <v>1842</v>
      </c>
      <c r="BO117" s="55">
        <f t="shared" si="67"/>
        <v>500</v>
      </c>
      <c r="BP117" s="55">
        <v>75</v>
      </c>
      <c r="BQ117" s="55">
        <v>300</v>
      </c>
      <c r="BR117" s="55">
        <f t="shared" si="68"/>
        <v>1405</v>
      </c>
      <c r="BS117" s="50">
        <f t="shared" si="57"/>
        <v>22889.13625</v>
      </c>
    </row>
    <row r="118" spans="1:73" x14ac:dyDescent="0.25">
      <c r="A118" s="49"/>
      <c r="B118" s="49"/>
      <c r="C118" s="90"/>
      <c r="D118" s="49"/>
      <c r="E118" s="49"/>
      <c r="F118" s="49"/>
      <c r="G118" s="91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92" t="s">
        <v>908</v>
      </c>
      <c r="V118" s="93">
        <f t="shared" ref="V118:BS118" si="74">SUM(V9:V117)</f>
        <v>2755.5</v>
      </c>
      <c r="W118" s="93">
        <f t="shared" si="74"/>
        <v>0</v>
      </c>
      <c r="X118" s="93">
        <f t="shared" si="74"/>
        <v>0</v>
      </c>
      <c r="Y118" s="93">
        <f t="shared" si="74"/>
        <v>2755.5</v>
      </c>
      <c r="Z118" s="93">
        <f t="shared" si="74"/>
        <v>0</v>
      </c>
      <c r="AA118" s="93">
        <f t="shared" si="74"/>
        <v>0</v>
      </c>
      <c r="AB118" s="93">
        <f t="shared" si="74"/>
        <v>41332.5</v>
      </c>
      <c r="AC118" s="93">
        <f t="shared" si="74"/>
        <v>0</v>
      </c>
      <c r="AD118" s="93">
        <f t="shared" si="74"/>
        <v>0</v>
      </c>
      <c r="AE118" s="93">
        <f t="shared" si="74"/>
        <v>1692225</v>
      </c>
      <c r="AF118" s="93">
        <f t="shared" si="74"/>
        <v>84611.25</v>
      </c>
      <c r="AG118" s="93">
        <f t="shared" si="74"/>
        <v>5500</v>
      </c>
      <c r="AH118" s="93">
        <f t="shared" si="74"/>
        <v>2000</v>
      </c>
      <c r="AI118" s="93">
        <f t="shared" si="74"/>
        <v>140962.34249999994</v>
      </c>
      <c r="AJ118" s="93">
        <f t="shared" si="74"/>
        <v>84611.25</v>
      </c>
      <c r="AK118" s="93">
        <f t="shared" si="74"/>
        <v>2009909.842499997</v>
      </c>
      <c r="AL118" s="93">
        <f t="shared" si="74"/>
        <v>163500</v>
      </c>
      <c r="AM118" s="93">
        <f t="shared" si="74"/>
        <v>212550</v>
      </c>
      <c r="AN118" s="93">
        <f t="shared" si="74"/>
        <v>60740.793750000121</v>
      </c>
      <c r="AO118" s="93">
        <f t="shared" si="74"/>
        <v>32700</v>
      </c>
      <c r="AP118" s="93">
        <f t="shared" si="74"/>
        <v>162113.04453749993</v>
      </c>
      <c r="AQ118" s="93">
        <f t="shared" si="74"/>
        <v>2641513.6807875023</v>
      </c>
      <c r="AR118" s="93">
        <f t="shared" si="74"/>
        <v>97833.840029166895</v>
      </c>
      <c r="AS118" s="93">
        <f t="shared" si="74"/>
        <v>8251.5567129629635</v>
      </c>
      <c r="AT118" s="93">
        <f t="shared" si="74"/>
        <v>9116.1135675636669</v>
      </c>
      <c r="AU118" s="93">
        <f t="shared" si="74"/>
        <v>1584412.5</v>
      </c>
      <c r="AV118" s="93">
        <f t="shared" si="74"/>
        <v>79220.625</v>
      </c>
      <c r="AW118" s="93">
        <f t="shared" si="74"/>
        <v>4120.3703703703704</v>
      </c>
      <c r="AX118" s="93">
        <f t="shared" si="74"/>
        <v>1981.4814814814815</v>
      </c>
      <c r="AY118" s="93">
        <f t="shared" si="74"/>
        <v>131981.56125</v>
      </c>
      <c r="AZ118" s="93">
        <f t="shared" si="74"/>
        <v>79220.625</v>
      </c>
      <c r="BA118" s="93">
        <f t="shared" si="74"/>
        <v>153075</v>
      </c>
      <c r="BB118" s="93">
        <f t="shared" si="74"/>
        <v>0</v>
      </c>
      <c r="BC118" s="93">
        <f t="shared" si="74"/>
        <v>0</v>
      </c>
      <c r="BD118" s="93">
        <f t="shared" si="74"/>
        <v>2034012.1631018496</v>
      </c>
      <c r="BE118" s="93">
        <f t="shared" si="74"/>
        <v>183696</v>
      </c>
      <c r="BF118" s="93">
        <f t="shared" si="74"/>
        <v>12581</v>
      </c>
      <c r="BG118" s="93">
        <f t="shared" si="74"/>
        <v>20400</v>
      </c>
      <c r="BH118" s="93">
        <f t="shared" si="74"/>
        <v>0</v>
      </c>
      <c r="BI118" s="93">
        <f t="shared" si="74"/>
        <v>0</v>
      </c>
      <c r="BJ118" s="93">
        <f t="shared" si="74"/>
        <v>41332.5</v>
      </c>
      <c r="BK118" s="93">
        <f t="shared" si="74"/>
        <v>2700</v>
      </c>
      <c r="BL118" s="93">
        <f t="shared" si="74"/>
        <v>260709.5</v>
      </c>
      <c r="BM118" s="93">
        <f t="shared" si="74"/>
        <v>1773314</v>
      </c>
      <c r="BN118" s="93">
        <f t="shared" si="74"/>
        <v>199011</v>
      </c>
      <c r="BO118" s="93">
        <f t="shared" si="74"/>
        <v>54273</v>
      </c>
      <c r="BP118" s="93">
        <f t="shared" si="74"/>
        <v>8100</v>
      </c>
      <c r="BQ118" s="93">
        <f t="shared" si="74"/>
        <v>32400</v>
      </c>
      <c r="BR118" s="93">
        <f t="shared" si="74"/>
        <v>152253</v>
      </c>
      <c r="BS118" s="93">
        <f t="shared" si="74"/>
        <v>2480049.1631018496</v>
      </c>
      <c r="BU118" s="8"/>
    </row>
    <row r="119" spans="1:73" customFormat="1" ht="15" x14ac:dyDescent="0.25">
      <c r="C119" s="94"/>
      <c r="V119" s="95"/>
      <c r="BG119" s="95">
        <f>+'[1]BILLING &amp; PAY SHEET'!$BG$86</f>
        <v>13500</v>
      </c>
    </row>
    <row r="120" spans="1:73" customFormat="1" ht="15" x14ac:dyDescent="0.25">
      <c r="C120" s="94"/>
      <c r="V120" s="95"/>
      <c r="BS120" s="95"/>
    </row>
    <row r="121" spans="1:73" customFormat="1" ht="15" x14ac:dyDescent="0.25">
      <c r="C121" s="94"/>
    </row>
    <row r="122" spans="1:73" customFormat="1" ht="15" x14ac:dyDescent="0.25">
      <c r="C122" s="94"/>
      <c r="V122" s="95"/>
    </row>
    <row r="123" spans="1:73" customFormat="1" ht="15" x14ac:dyDescent="0.25">
      <c r="C123" s="94"/>
      <c r="BU123" s="95"/>
    </row>
    <row r="124" spans="1:73" customFormat="1" ht="15" x14ac:dyDescent="0.25">
      <c r="C124" s="94"/>
    </row>
    <row r="125" spans="1:73" customFormat="1" ht="15" x14ac:dyDescent="0.25">
      <c r="C125" s="94"/>
    </row>
    <row r="126" spans="1:73" customFormat="1" ht="15" x14ac:dyDescent="0.25">
      <c r="C126" s="94"/>
    </row>
    <row r="127" spans="1:73" customFormat="1" ht="15" x14ac:dyDescent="0.25">
      <c r="C127" s="94"/>
    </row>
    <row r="128" spans="1:73" customFormat="1" ht="15" x14ac:dyDescent="0.25">
      <c r="C128" s="94"/>
    </row>
    <row r="129" spans="3:3" customFormat="1" ht="15" x14ac:dyDescent="0.25">
      <c r="C129" s="94"/>
    </row>
    <row r="130" spans="3:3" customFormat="1" ht="15" x14ac:dyDescent="0.25">
      <c r="C130" s="94"/>
    </row>
    <row r="131" spans="3:3" customFormat="1" ht="15" x14ac:dyDescent="0.25">
      <c r="C131" s="94"/>
    </row>
    <row r="132" spans="3:3" customFormat="1" ht="15" x14ac:dyDescent="0.25">
      <c r="C132" s="94"/>
    </row>
    <row r="133" spans="3:3" customFormat="1" ht="15" x14ac:dyDescent="0.25">
      <c r="C133" s="94"/>
    </row>
    <row r="134" spans="3:3" customFormat="1" ht="15" x14ac:dyDescent="0.25">
      <c r="C134" s="94"/>
    </row>
    <row r="135" spans="3:3" customFormat="1" ht="15" x14ac:dyDescent="0.25">
      <c r="C135" s="94"/>
    </row>
    <row r="136" spans="3:3" customFormat="1" ht="15" x14ac:dyDescent="0.25">
      <c r="C136" s="94"/>
    </row>
    <row r="137" spans="3:3" customFormat="1" ht="15" x14ac:dyDescent="0.25">
      <c r="C137" s="94"/>
    </row>
    <row r="138" spans="3:3" customFormat="1" ht="15" x14ac:dyDescent="0.25">
      <c r="C138" s="94"/>
    </row>
    <row r="139" spans="3:3" customFormat="1" ht="15" x14ac:dyDescent="0.25">
      <c r="C139" s="94"/>
    </row>
    <row r="140" spans="3:3" customFormat="1" ht="15" x14ac:dyDescent="0.25">
      <c r="C140" s="94"/>
    </row>
    <row r="141" spans="3:3" customFormat="1" ht="15" x14ac:dyDescent="0.25">
      <c r="C141" s="94"/>
    </row>
    <row r="142" spans="3:3" customFormat="1" ht="15" x14ac:dyDescent="0.25">
      <c r="C142" s="94"/>
    </row>
    <row r="143" spans="3:3" customFormat="1" ht="15" x14ac:dyDescent="0.25">
      <c r="C143" s="94"/>
    </row>
    <row r="144" spans="3:3" customFormat="1" ht="15" x14ac:dyDescent="0.25">
      <c r="C144" s="94"/>
    </row>
    <row r="145" spans="3:3" customFormat="1" ht="15" x14ac:dyDescent="0.25">
      <c r="C145" s="94"/>
    </row>
    <row r="146" spans="3:3" customFormat="1" ht="15" x14ac:dyDescent="0.25">
      <c r="C146" s="94"/>
    </row>
    <row r="147" spans="3:3" customFormat="1" ht="15" x14ac:dyDescent="0.25">
      <c r="C147" s="94"/>
    </row>
    <row r="148" spans="3:3" customFormat="1" ht="15" x14ac:dyDescent="0.25">
      <c r="C148" s="94"/>
    </row>
    <row r="149" spans="3:3" customFormat="1" ht="15" x14ac:dyDescent="0.25">
      <c r="C149" s="94"/>
    </row>
    <row r="150" spans="3:3" customFormat="1" ht="15" x14ac:dyDescent="0.25">
      <c r="C150" s="94"/>
    </row>
    <row r="151" spans="3:3" customFormat="1" ht="15" x14ac:dyDescent="0.25">
      <c r="C151" s="94"/>
    </row>
    <row r="152" spans="3:3" customFormat="1" ht="15" x14ac:dyDescent="0.25">
      <c r="C152" s="94"/>
    </row>
    <row r="153" spans="3:3" customFormat="1" ht="15" x14ac:dyDescent="0.25">
      <c r="C153" s="94"/>
    </row>
    <row r="154" spans="3:3" customFormat="1" ht="15" x14ac:dyDescent="0.25">
      <c r="C154" s="94"/>
    </row>
    <row r="155" spans="3:3" customFormat="1" ht="15" x14ac:dyDescent="0.25">
      <c r="C155" s="94"/>
    </row>
    <row r="156" spans="3:3" customFormat="1" ht="15" x14ac:dyDescent="0.25">
      <c r="C156" s="94"/>
    </row>
    <row r="157" spans="3:3" customFormat="1" ht="15" x14ac:dyDescent="0.25">
      <c r="C157" s="94"/>
    </row>
    <row r="158" spans="3:3" customFormat="1" ht="15" x14ac:dyDescent="0.25">
      <c r="C158" s="94"/>
    </row>
    <row r="159" spans="3:3" customFormat="1" ht="15" x14ac:dyDescent="0.25">
      <c r="C159" s="94"/>
    </row>
    <row r="160" spans="3:3" customFormat="1" ht="15" x14ac:dyDescent="0.25">
      <c r="C160" s="94"/>
    </row>
    <row r="161" spans="3:3" customFormat="1" ht="15" x14ac:dyDescent="0.25">
      <c r="C161" s="94"/>
    </row>
    <row r="162" spans="3:3" customFormat="1" ht="15" x14ac:dyDescent="0.25">
      <c r="C162" s="94"/>
    </row>
    <row r="163" spans="3:3" customFormat="1" ht="15" x14ac:dyDescent="0.25">
      <c r="C163" s="94"/>
    </row>
    <row r="164" spans="3:3" customFormat="1" ht="15" x14ac:dyDescent="0.25">
      <c r="C164" s="94"/>
    </row>
    <row r="165" spans="3:3" customFormat="1" ht="15" x14ac:dyDescent="0.25">
      <c r="C165" s="94"/>
    </row>
    <row r="166" spans="3:3" customFormat="1" ht="15" x14ac:dyDescent="0.25">
      <c r="C166" s="94"/>
    </row>
    <row r="167" spans="3:3" customFormat="1" ht="15" x14ac:dyDescent="0.25">
      <c r="C167" s="94"/>
    </row>
    <row r="168" spans="3:3" customFormat="1" ht="15" x14ac:dyDescent="0.25">
      <c r="C168" s="94"/>
    </row>
    <row r="169" spans="3:3" customFormat="1" ht="15" x14ac:dyDescent="0.25">
      <c r="C169" s="94"/>
    </row>
    <row r="170" spans="3:3" customFormat="1" ht="15" x14ac:dyDescent="0.25">
      <c r="C170" s="94"/>
    </row>
    <row r="171" spans="3:3" customFormat="1" ht="15" x14ac:dyDescent="0.25">
      <c r="C171" s="94"/>
    </row>
    <row r="172" spans="3:3" customFormat="1" ht="15" x14ac:dyDescent="0.25">
      <c r="C172" s="94"/>
    </row>
    <row r="173" spans="3:3" customFormat="1" ht="15" x14ac:dyDescent="0.25">
      <c r="C173" s="94"/>
    </row>
    <row r="174" spans="3:3" customFormat="1" ht="15" x14ac:dyDescent="0.25">
      <c r="C174" s="94"/>
    </row>
    <row r="175" spans="3:3" customFormat="1" ht="15" x14ac:dyDescent="0.25">
      <c r="C175" s="94"/>
    </row>
    <row r="176" spans="3:3" customFormat="1" ht="15" x14ac:dyDescent="0.25">
      <c r="C176" s="94"/>
    </row>
    <row r="177" spans="3:3" customFormat="1" ht="15" x14ac:dyDescent="0.25">
      <c r="C177" s="94"/>
    </row>
    <row r="178" spans="3:3" customFormat="1" ht="15" x14ac:dyDescent="0.25">
      <c r="C178" s="94"/>
    </row>
    <row r="179" spans="3:3" customFormat="1" ht="15" x14ac:dyDescent="0.25">
      <c r="C179" s="94"/>
    </row>
    <row r="180" spans="3:3" customFormat="1" ht="15" x14ac:dyDescent="0.25">
      <c r="C180" s="94"/>
    </row>
    <row r="181" spans="3:3" customFormat="1" ht="15" x14ac:dyDescent="0.25">
      <c r="C181" s="94"/>
    </row>
    <row r="182" spans="3:3" customFormat="1" ht="15" x14ac:dyDescent="0.25">
      <c r="C182" s="94"/>
    </row>
    <row r="183" spans="3:3" customFormat="1" ht="15" x14ac:dyDescent="0.25">
      <c r="C183" s="94"/>
    </row>
    <row r="184" spans="3:3" customFormat="1" ht="15" x14ac:dyDescent="0.25">
      <c r="C184" s="94"/>
    </row>
    <row r="185" spans="3:3" customFormat="1" ht="15" x14ac:dyDescent="0.25">
      <c r="C185" s="94"/>
    </row>
    <row r="186" spans="3:3" customFormat="1" ht="15" x14ac:dyDescent="0.25">
      <c r="C186" s="94"/>
    </row>
    <row r="187" spans="3:3" customFormat="1" ht="15" x14ac:dyDescent="0.25">
      <c r="C187" s="94"/>
    </row>
    <row r="188" spans="3:3" customFormat="1" ht="15" x14ac:dyDescent="0.25">
      <c r="C188" s="94"/>
    </row>
    <row r="189" spans="3:3" customFormat="1" ht="15" x14ac:dyDescent="0.25">
      <c r="C189" s="94"/>
    </row>
    <row r="190" spans="3:3" customFormat="1" ht="15" x14ac:dyDescent="0.25">
      <c r="C190" s="94"/>
    </row>
    <row r="191" spans="3:3" customFormat="1" ht="15" x14ac:dyDescent="0.25">
      <c r="C191" s="94"/>
    </row>
    <row r="192" spans="3:3" customFormat="1" ht="15" x14ac:dyDescent="0.25">
      <c r="C192" s="94"/>
    </row>
    <row r="193" spans="3:3" customFormat="1" ht="15" x14ac:dyDescent="0.25">
      <c r="C193" s="94"/>
    </row>
    <row r="194" spans="3:3" customFormat="1" ht="15" x14ac:dyDescent="0.25">
      <c r="C194" s="94"/>
    </row>
    <row r="195" spans="3:3" customFormat="1" ht="15" x14ac:dyDescent="0.25">
      <c r="C195" s="94"/>
    </row>
    <row r="196" spans="3:3" customFormat="1" ht="15" x14ac:dyDescent="0.25">
      <c r="C196" s="94"/>
    </row>
    <row r="197" spans="3:3" customFormat="1" ht="15" x14ac:dyDescent="0.25">
      <c r="C197" s="94"/>
    </row>
    <row r="198" spans="3:3" customFormat="1" ht="15" x14ac:dyDescent="0.25">
      <c r="C198" s="94"/>
    </row>
    <row r="199" spans="3:3" customFormat="1" ht="15" x14ac:dyDescent="0.25">
      <c r="C199" s="94"/>
    </row>
    <row r="200" spans="3:3" customFormat="1" ht="15" x14ac:dyDescent="0.25">
      <c r="C200" s="94"/>
    </row>
    <row r="201" spans="3:3" customFormat="1" ht="15" x14ac:dyDescent="0.25">
      <c r="C201" s="94"/>
    </row>
    <row r="202" spans="3:3" customFormat="1" ht="15" x14ac:dyDescent="0.25">
      <c r="C202" s="94"/>
    </row>
    <row r="203" spans="3:3" customFormat="1" ht="15" x14ac:dyDescent="0.25">
      <c r="C203" s="94"/>
    </row>
    <row r="204" spans="3:3" customFormat="1" ht="15" x14ac:dyDescent="0.25">
      <c r="C204" s="94"/>
    </row>
    <row r="205" spans="3:3" customFormat="1" ht="15" x14ac:dyDescent="0.25">
      <c r="C205" s="94"/>
    </row>
    <row r="206" spans="3:3" customFormat="1" ht="15" x14ac:dyDescent="0.25">
      <c r="C206" s="94"/>
    </row>
    <row r="207" spans="3:3" customFormat="1" ht="15" x14ac:dyDescent="0.25">
      <c r="C207" s="94"/>
    </row>
    <row r="208" spans="3:3" customFormat="1" ht="15" x14ac:dyDescent="0.25">
      <c r="C208" s="94"/>
    </row>
    <row r="209" spans="3:3" customFormat="1" ht="15" x14ac:dyDescent="0.25">
      <c r="C209" s="94"/>
    </row>
    <row r="210" spans="3:3" customFormat="1" ht="15" x14ac:dyDescent="0.25">
      <c r="C210" s="94"/>
    </row>
    <row r="211" spans="3:3" customFormat="1" ht="15" x14ac:dyDescent="0.25">
      <c r="C211" s="94"/>
    </row>
    <row r="212" spans="3:3" customFormat="1" ht="15" x14ac:dyDescent="0.25">
      <c r="C212" s="94"/>
    </row>
    <row r="213" spans="3:3" customFormat="1" ht="15" x14ac:dyDescent="0.25">
      <c r="C213" s="94"/>
    </row>
    <row r="214" spans="3:3" customFormat="1" ht="15" x14ac:dyDescent="0.25">
      <c r="C214" s="94"/>
    </row>
    <row r="215" spans="3:3" customFormat="1" ht="15" x14ac:dyDescent="0.25">
      <c r="C215" s="94"/>
    </row>
    <row r="216" spans="3:3" customFormat="1" ht="15" x14ac:dyDescent="0.25">
      <c r="C216" s="94"/>
    </row>
    <row r="217" spans="3:3" customFormat="1" ht="15" x14ac:dyDescent="0.25">
      <c r="C217" s="94"/>
    </row>
    <row r="218" spans="3:3" customFormat="1" ht="15" x14ac:dyDescent="0.25">
      <c r="C218" s="94"/>
    </row>
    <row r="219" spans="3:3" customFormat="1" ht="15" x14ac:dyDescent="0.25">
      <c r="C219" s="94"/>
    </row>
    <row r="220" spans="3:3" customFormat="1" ht="15" x14ac:dyDescent="0.25">
      <c r="C220" s="94"/>
    </row>
    <row r="221" spans="3:3" customFormat="1" ht="15" x14ac:dyDescent="0.25">
      <c r="C221" s="94"/>
    </row>
    <row r="222" spans="3:3" customFormat="1" ht="15" x14ac:dyDescent="0.25">
      <c r="C222" s="94"/>
    </row>
    <row r="223" spans="3:3" customFormat="1" ht="15" x14ac:dyDescent="0.25">
      <c r="C223" s="94"/>
    </row>
    <row r="224" spans="3:3" customFormat="1" ht="15" x14ac:dyDescent="0.25">
      <c r="C224" s="94"/>
    </row>
    <row r="225" spans="3:19" customFormat="1" ht="15" x14ac:dyDescent="0.25">
      <c r="C225" s="94"/>
    </row>
    <row r="226" spans="3:19" customFormat="1" ht="15" x14ac:dyDescent="0.25">
      <c r="C226" s="94"/>
    </row>
    <row r="227" spans="3:19" customFormat="1" ht="15" x14ac:dyDescent="0.25">
      <c r="C227" s="94"/>
    </row>
    <row r="228" spans="3:19" customFormat="1" ht="15" x14ac:dyDescent="0.25">
      <c r="C228" s="94"/>
    </row>
    <row r="229" spans="3:19" customFormat="1" ht="15" x14ac:dyDescent="0.25">
      <c r="C229" s="94"/>
    </row>
    <row r="230" spans="3:19" customFormat="1" ht="15" x14ac:dyDescent="0.25">
      <c r="C230" s="94"/>
    </row>
    <row r="231" spans="3:19" customFormat="1" ht="15" x14ac:dyDescent="0.25">
      <c r="C231" s="94"/>
    </row>
    <row r="232" spans="3:19" customFormat="1" ht="15" x14ac:dyDescent="0.25">
      <c r="C232" s="94"/>
    </row>
    <row r="233" spans="3:19" customFormat="1" ht="15" x14ac:dyDescent="0.25">
      <c r="C233" s="94"/>
    </row>
    <row r="234" spans="3:19" customFormat="1" ht="15" x14ac:dyDescent="0.25">
      <c r="C234" s="94"/>
    </row>
    <row r="235" spans="3:19" customFormat="1" ht="15" x14ac:dyDescent="0.25">
      <c r="C235" s="94"/>
    </row>
    <row r="236" spans="3:19" x14ac:dyDescent="0.25">
      <c r="S236" s="2"/>
    </row>
    <row r="237" spans="3:19" x14ac:dyDescent="0.25">
      <c r="S237" s="2"/>
    </row>
    <row r="238" spans="3:19" x14ac:dyDescent="0.25">
      <c r="S238" s="2"/>
    </row>
    <row r="239" spans="3:19" x14ac:dyDescent="0.25">
      <c r="S239" s="2"/>
    </row>
    <row r="240" spans="3:19" x14ac:dyDescent="0.25">
      <c r="S240" s="2"/>
    </row>
  </sheetData>
  <autoFilter ref="A8:BS118" xr:uid="{00000000-0009-0000-0000-000001000000}"/>
  <mergeCells count="6">
    <mergeCell ref="BN7:BS7"/>
    <mergeCell ref="A7:T7"/>
    <mergeCell ref="U7:AB7"/>
    <mergeCell ref="AE7:AT7"/>
    <mergeCell ref="AU7:BD7"/>
    <mergeCell ref="BE7:BM7"/>
  </mergeCells>
  <conditionalFormatting sqref="C1:C6">
    <cfRule type="duplicateValues" dxfId="74" priority="40"/>
    <cfRule type="duplicateValues" dxfId="73" priority="39" stopIfTrue="1"/>
    <cfRule type="duplicateValues" dxfId="72" priority="41"/>
  </conditionalFormatting>
  <conditionalFormatting sqref="C9:C78">
    <cfRule type="duplicateValues" dxfId="71" priority="74"/>
  </conditionalFormatting>
  <conditionalFormatting sqref="C98">
    <cfRule type="duplicateValues" dxfId="70" priority="72"/>
    <cfRule type="duplicateValues" dxfId="69" priority="71"/>
    <cfRule type="duplicateValues" dxfId="68" priority="70"/>
    <cfRule type="duplicateValues" dxfId="67" priority="69"/>
    <cfRule type="duplicateValues" dxfId="66" priority="68"/>
    <cfRule type="duplicateValues" dxfId="65" priority="67"/>
    <cfRule type="duplicateValues" dxfId="64" priority="65"/>
    <cfRule type="duplicateValues" dxfId="63" priority="66"/>
  </conditionalFormatting>
  <conditionalFormatting sqref="C117">
    <cfRule type="duplicateValues" dxfId="62" priority="57"/>
    <cfRule type="duplicateValues" dxfId="61" priority="63"/>
    <cfRule type="duplicateValues" dxfId="60" priority="62"/>
    <cfRule type="duplicateValues" dxfId="59" priority="61"/>
    <cfRule type="duplicateValues" dxfId="58" priority="60"/>
    <cfRule type="duplicateValues" dxfId="57" priority="59"/>
    <cfRule type="duplicateValues" dxfId="56" priority="58"/>
    <cfRule type="duplicateValues" dxfId="55" priority="56"/>
  </conditionalFormatting>
  <conditionalFormatting sqref="C118">
    <cfRule type="duplicateValues" dxfId="54" priority="34"/>
    <cfRule type="duplicateValues" dxfId="53" priority="46"/>
  </conditionalFormatting>
  <conditionalFormatting sqref="C236:C65406 C1:C6">
    <cfRule type="duplicateValues" dxfId="52" priority="37"/>
  </conditionalFormatting>
  <conditionalFormatting sqref="C236:C1048576 C1:C6">
    <cfRule type="duplicateValues" dxfId="51" priority="35"/>
    <cfRule type="duplicateValues" dxfId="50" priority="38"/>
  </conditionalFormatting>
  <conditionalFormatting sqref="C236:C1048576 C99:C116 C118 C1:C97">
    <cfRule type="duplicateValues" dxfId="49" priority="16"/>
    <cfRule type="duplicateValues" dxfId="48" priority="20"/>
    <cfRule type="duplicateValues" dxfId="47" priority="21"/>
    <cfRule type="duplicateValues" dxfId="46" priority="22"/>
    <cfRule type="duplicateValues" dxfId="45" priority="23"/>
    <cfRule type="duplicateValues" dxfId="44" priority="19"/>
    <cfRule type="duplicateValues" dxfId="43" priority="18"/>
    <cfRule type="duplicateValues" dxfId="42" priority="17"/>
  </conditionalFormatting>
  <conditionalFormatting sqref="C236:C1048576 C118 C1:C6">
    <cfRule type="duplicateValues" dxfId="41" priority="26"/>
    <cfRule type="duplicateValues" dxfId="40" priority="28"/>
    <cfRule type="duplicateValues" dxfId="39" priority="30"/>
    <cfRule type="duplicateValues" dxfId="38" priority="31"/>
    <cfRule type="duplicateValues" dxfId="37" priority="29"/>
    <cfRule type="duplicateValues" dxfId="36" priority="45"/>
  </conditionalFormatting>
  <conditionalFormatting sqref="D1:D6 C8:D8">
    <cfRule type="duplicateValues" dxfId="35" priority="42"/>
    <cfRule type="duplicateValues" dxfId="34" priority="44"/>
  </conditionalFormatting>
  <conditionalFormatting sqref="D1:D6">
    <cfRule type="duplicateValues" dxfId="33" priority="43"/>
  </conditionalFormatting>
  <conditionalFormatting sqref="D9:D78">
    <cfRule type="duplicateValues" dxfId="32" priority="75" stopIfTrue="1"/>
  </conditionalFormatting>
  <conditionalFormatting sqref="D79:D80">
    <cfRule type="duplicateValues" dxfId="31" priority="24" stopIfTrue="1"/>
  </conditionalFormatting>
  <conditionalFormatting sqref="E78">
    <cfRule type="duplicateValues" dxfId="30" priority="47"/>
  </conditionalFormatting>
  <conditionalFormatting sqref="N61">
    <cfRule type="duplicateValues" dxfId="29" priority="1"/>
    <cfRule type="duplicateValues" dxfId="28" priority="3"/>
    <cfRule type="duplicateValues" dxfId="27" priority="2"/>
  </conditionalFormatting>
  <conditionalFormatting sqref="N62:N77 N9:N60">
    <cfRule type="duplicateValues" dxfId="26" priority="52"/>
    <cfRule type="duplicateValues" dxfId="25" priority="53"/>
    <cfRule type="duplicateValues" dxfId="24" priority="54"/>
  </conditionalFormatting>
  <conditionalFormatting sqref="N78:N83">
    <cfRule type="duplicateValues" dxfId="23" priority="48"/>
    <cfRule type="duplicateValues" dxfId="22" priority="49"/>
    <cfRule type="duplicateValues" dxfId="21" priority="50"/>
  </conditionalFormatting>
  <conditionalFormatting sqref="N86">
    <cfRule type="duplicateValues" dxfId="20" priority="12"/>
    <cfRule type="duplicateValues" dxfId="19" priority="13"/>
    <cfRule type="duplicateValues" dxfId="18" priority="14"/>
    <cfRule type="containsText" dxfId="17" priority="11" operator="containsText" text="TR">
      <formula>NOT(ISERROR(SEARCH("TR",N86)))</formula>
    </cfRule>
  </conditionalFormatting>
  <conditionalFormatting sqref="O61">
    <cfRule type="duplicateValues" dxfId="16" priority="4"/>
  </conditionalFormatting>
  <conditionalFormatting sqref="O62:O81 O9:O60">
    <cfRule type="duplicateValues" dxfId="15" priority="55"/>
  </conditionalFormatting>
  <conditionalFormatting sqref="O98">
    <cfRule type="duplicateValues" dxfId="14" priority="73"/>
  </conditionalFormatting>
  <conditionalFormatting sqref="O99:O116 O82:O97">
    <cfRule type="duplicateValues" dxfId="13" priority="51"/>
  </conditionalFormatting>
  <conditionalFormatting sqref="O117">
    <cfRule type="duplicateValues" dxfId="12" priority="64"/>
  </conditionalFormatting>
  <conditionalFormatting sqref="S10:T80 V25:AD117 F78 E79:F80 N79:N83 I79:I111 AF81:AG91 F81:F117 Q81:T117 AF93:AG97 AF108:AG111 AK117:AZ117">
    <cfRule type="containsText" dxfId="11" priority="9" operator="containsText" text="TR">
      <formula>NOT(ISERROR(SEARCH("TR",E10)))</formula>
    </cfRule>
  </conditionalFormatting>
  <conditionalFormatting sqref="AF113:AG117">
    <cfRule type="containsText" dxfId="10" priority="7" operator="containsText" text="TR">
      <formula>NOT(ISERROR(SEARCH("TR",AF113)))</formula>
    </cfRule>
  </conditionalFormatting>
  <conditionalFormatting sqref="AK9:AL117 AK1:AL7 V118:BS118 AK236:AL1048576">
    <cfRule type="cellIs" dxfId="9" priority="27" operator="greaterThan">
      <formula>21000</formula>
    </cfRule>
  </conditionalFormatting>
  <conditionalFormatting sqref="AK9:AR117">
    <cfRule type="cellIs" dxfId="8" priority="10" stopIfTrue="1" operator="greaterThan">
      <formula>20999</formula>
    </cfRule>
  </conditionalFormatting>
  <conditionalFormatting sqref="AK9:AZ97 AK98:AK116 BB9:BC117 H9:N78 E9:F77 P9:Q80 A9:B117 BE9:BH117 BM9:BP117 BR9:BS117 BJ11:BJ117 AZ98:AZ116 AF106:AG106">
    <cfRule type="containsText" dxfId="7" priority="15" operator="containsText" text="TR">
      <formula>NOT(ISERROR(SEARCH("TR",A9)))</formula>
    </cfRule>
  </conditionalFormatting>
  <conditionalFormatting sqref="AK98:AZ98">
    <cfRule type="containsText" dxfId="6" priority="5" operator="containsText" text="TR">
      <formula>NOT(ISERROR(SEARCH("TR",AK98)))</formula>
    </cfRule>
  </conditionalFormatting>
  <conditionalFormatting sqref="AK99:AZ116 B8:Y8 Z8:AD24 S9:Y9 V10:Y24 U10:U117 H79:H80 J79:M80 AF99:AG101 AF103:AG103">
    <cfRule type="containsText" dxfId="5" priority="33" operator="containsText" text="TR">
      <formula>NOT(ISERROR(SEARCH("TR",B8)))</formula>
    </cfRule>
  </conditionalFormatting>
  <conditionalFormatting sqref="AK113:AZ113">
    <cfRule type="containsText" dxfId="4" priority="8" operator="containsText" text="TR">
      <formula>NOT(ISERROR(SEARCH("TR",AK113)))</formula>
    </cfRule>
  </conditionalFormatting>
  <conditionalFormatting sqref="AN118 AP118 U7:X7 AU7 BE7 BN7 A7:A8 AE7:AE8 AF8 AS8:AV8 BB8 BN8:BP8 BR8">
    <cfRule type="containsText" dxfId="3" priority="32" operator="containsText" text="TR">
      <formula>NOT(ISERROR(SEARCH("TR",A7)))</formula>
    </cfRule>
  </conditionalFormatting>
  <conditionalFormatting sqref="AN118 AP118 AK1:AR6">
    <cfRule type="cellIs" dxfId="2" priority="36" stopIfTrue="1" operator="greaterThan">
      <formula>20999</formula>
    </cfRule>
  </conditionalFormatting>
  <conditionalFormatting sqref="BC9:BC117">
    <cfRule type="cellIs" dxfId="1" priority="6" operator="greaterThan">
      <formula>1500</formula>
    </cfRule>
  </conditionalFormatting>
  <conditionalFormatting sqref="BE8:BL8">
    <cfRule type="containsText" dxfId="0" priority="25" operator="containsText" text="TR">
      <formula>NOT(ISERROR(SEARCH("TR",BE8)))</formula>
    </cfRule>
  </conditionalFormatting>
  <hyperlinks>
    <hyperlink ref="AP8" r:id="rId1" display="SERVISE@7%" xr:uid="{DADC2E7F-29CC-4287-A161-0CC74C2364EC}"/>
  </hyperlinks>
  <pageMargins left="0.70866141732283472" right="0.70866141732283472" top="0.74803149606299213" bottom="0.74803149606299213" header="0.31496062992125984" footer="0.31496062992125984"/>
  <pageSetup paperSize="9" scale="90" orientation="landscape" r:id="rId2"/>
  <headerFooter>
    <oddFooter>Page &amp;P&amp;RRBU Production July-20</oddFoot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&amp; PAY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SOMESH ADHIKARI</dc:creator>
  <cp:lastModifiedBy>SOMESH ADHIKARI</cp:lastModifiedBy>
  <dcterms:created xsi:type="dcterms:W3CDTF">2026-07-27T12:24:20Z</dcterms:created>
  <dcterms:modified xsi:type="dcterms:W3CDTF">2026-07-27T12:28:33Z</dcterms:modified>
</cp:coreProperties>
</file>