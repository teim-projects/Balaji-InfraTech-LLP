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codeName="ThisWorkbook"/>
  <mc:AlternateContent xmlns:mc="http://schemas.openxmlformats.org/markup-compatibility/2006">
    <mc:Choice Requires="x15">
      <x15ac:absPath xmlns:x15ac="http://schemas.microsoft.com/office/spreadsheetml/2010/11/ac" url="D:\FY 26-27\Balaji Infratsructure\RBU Manpower\EMPLOYEE DOCUMENTS\"/>
    </mc:Choice>
  </mc:AlternateContent>
  <xr:revisionPtr revIDLastSave="0" documentId="13_ncr:1_{9F94C774-55B0-4489-83D2-A05E3803C2F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etails" sheetId="1" r:id="rId1"/>
    <sheet name="Sheet2" sheetId="17" r:id="rId2"/>
    <sheet name="Data" sheetId="14" state="hidden" r:id="rId3"/>
    <sheet name="WeeklyOff" sheetId="13" state="hidden" r:id="rId4"/>
    <sheet name="HolidayGroup" sheetId="12" state="hidden" r:id="rId5"/>
    <sheet name="ConstantData" sheetId="2" state="hidden" r:id="rId6"/>
    <sheet name="Gender" sheetId="3" state="hidden" r:id="rId7"/>
    <sheet name="Office" sheetId="4" state="hidden" r:id="rId8"/>
    <sheet name="EmployeeType" sheetId="5" state="hidden" r:id="rId9"/>
    <sheet name="SubContractor" sheetId="6" state="hidden" r:id="rId10"/>
    <sheet name="Department" sheetId="11" state="hidden" r:id="rId11"/>
    <sheet name="Designation" sheetId="7" state="hidden" r:id="rId12"/>
    <sheet name="PayGradeMatrix" sheetId="8" state="hidden" r:id="rId13"/>
    <sheet name="Grade" sheetId="15" state="hidden" r:id="rId14"/>
  </sheets>
  <externalReferences>
    <externalReference r:id="rId15"/>
    <externalReference r:id="rId16"/>
    <externalReference r:id="rId17"/>
    <externalReference r:id="rId18"/>
  </externalReferences>
  <definedNames>
    <definedName name="_xlnm._FilterDatabase" localSheetId="10" hidden="1">Department!$B$1:$E$1</definedName>
    <definedName name="_xlnm._FilterDatabase" localSheetId="0" hidden="1">Details!$AG$1:$AG$656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53" i="1" l="1"/>
  <c r="Y113" i="1" l="1"/>
  <c r="J14" i="1" l="1"/>
  <c r="Y24" i="1" l="1"/>
  <c r="Y57" i="1"/>
  <c r="Y47" i="1"/>
  <c r="Y59" i="1"/>
  <c r="Y61" i="1"/>
  <c r="Y63" i="1"/>
  <c r="Y68" i="1"/>
  <c r="Y69" i="1"/>
  <c r="Y70" i="1"/>
  <c r="Y72" i="1"/>
  <c r="Y76" i="1"/>
  <c r="Y79" i="1"/>
  <c r="Y97" i="1"/>
  <c r="Y98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4" i="1"/>
  <c r="Y115" i="1"/>
  <c r="Y116" i="1"/>
  <c r="Y117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8" i="1"/>
  <c r="Y49" i="1"/>
  <c r="Y50" i="1"/>
  <c r="Y51" i="1"/>
  <c r="Y52" i="1"/>
  <c r="Y53" i="1"/>
  <c r="Y54" i="1"/>
  <c r="Y55" i="1"/>
  <c r="Y56" i="1"/>
  <c r="Y58" i="1"/>
  <c r="Y60" i="1"/>
  <c r="Y64" i="1"/>
  <c r="Y65" i="1"/>
  <c r="Y66" i="1"/>
  <c r="Y67" i="1"/>
  <c r="Y71" i="1"/>
  <c r="Y73" i="1"/>
  <c r="Y74" i="1"/>
  <c r="Y75" i="1"/>
  <c r="Y77" i="1"/>
  <c r="Y78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9" i="1"/>
  <c r="Y100" i="1"/>
  <c r="Y6" i="1"/>
  <c r="I14" i="1" l="1"/>
  <c r="I43" i="1"/>
  <c r="I88" i="1" l="1"/>
  <c r="J75" i="1" l="1"/>
  <c r="I75" i="1"/>
  <c r="J78" i="1" l="1"/>
  <c r="J74" i="1"/>
  <c r="I78" i="1"/>
  <c r="J77" i="1"/>
  <c r="J79" i="1"/>
  <c r="J7" i="1"/>
  <c r="J8" i="1"/>
  <c r="J9" i="1"/>
  <c r="J10" i="1"/>
  <c r="J11" i="1"/>
  <c r="J12" i="1"/>
  <c r="J13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3" i="1"/>
  <c r="J64" i="1"/>
  <c r="J65" i="1"/>
  <c r="J66" i="1"/>
  <c r="J67" i="1"/>
  <c r="J68" i="1"/>
  <c r="J69" i="1"/>
  <c r="J70" i="1"/>
  <c r="J71" i="1"/>
  <c r="J72" i="1"/>
  <c r="J73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6" i="1"/>
  <c r="I7" i="1"/>
  <c r="I9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9" i="1"/>
  <c r="I40" i="1"/>
  <c r="I41" i="1"/>
  <c r="I42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60" i="1"/>
  <c r="I61" i="1"/>
  <c r="I63" i="1"/>
  <c r="I64" i="1"/>
  <c r="I65" i="1"/>
  <c r="I66" i="1"/>
  <c r="I67" i="1"/>
  <c r="I68" i="1"/>
  <c r="I69" i="1"/>
  <c r="I70" i="1"/>
  <c r="I71" i="1"/>
  <c r="I72" i="1"/>
  <c r="I73" i="1"/>
  <c r="I74" i="1"/>
  <c r="I77" i="1"/>
  <c r="I79" i="1"/>
  <c r="I80" i="1"/>
  <c r="I81" i="1"/>
  <c r="I82" i="1"/>
  <c r="I83" i="1"/>
  <c r="I84" i="1"/>
  <c r="I85" i="1"/>
  <c r="I86" i="1"/>
  <c r="I87" i="1"/>
  <c r="I89" i="1"/>
  <c r="I90" i="1"/>
  <c r="I91" i="1"/>
  <c r="I92" i="1"/>
  <c r="I93" i="1"/>
  <c r="I94" i="1"/>
  <c r="I95" i="1"/>
  <c r="I96" i="1"/>
  <c r="I98" i="1"/>
  <c r="I99" i="1"/>
  <c r="I100" i="1"/>
  <c r="I101" i="1"/>
  <c r="I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tc={5248B074-657D-4874-8789-63C073F7A3FB}</author>
    <author>tc={44E8FAC7-0F45-4768-966C-23F10C7DE4CA}</author>
    <author>tc={B251F542-0BDB-4869-9B30-E7EFA9ADCC6E}</author>
  </authors>
  <commentList>
    <comment ref="A5" authorId="0" shapeId="0" xr:uid="{00000000-0006-0000-00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Biometric ID and Employee ID can be same</t>
      </text>
    </comment>
    <comment ref="B5" authorId="1" shapeId="0" xr:uid="{00000000-0006-0000-00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Biometric ID and Employee ID can be same</t>
      </text>
    </comment>
    <comment ref="S5" authorId="2" shapeId="0" xr:uid="{00000000-0006-0000-0000-000003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Leave blank if rortaional</t>
      </text>
    </comment>
  </commentList>
</comments>
</file>

<file path=xl/sharedStrings.xml><?xml version="1.0" encoding="utf-8"?>
<sst xmlns="http://schemas.openxmlformats.org/spreadsheetml/2006/main" count="6760" uniqueCount="1670">
  <si>
    <t>Contract Worker Upload Report</t>
  </si>
  <si>
    <t>Quick Instructions</t>
  </si>
  <si>
    <t>*Prepare separate upload sheet for separate contractors</t>
  </si>
  <si>
    <t>*Select values from drop down whereever list is available</t>
  </si>
  <si>
    <t>Employee ID*</t>
  </si>
  <si>
    <t>Current Biometric ID*</t>
  </si>
  <si>
    <t>Salutation*</t>
  </si>
  <si>
    <t>First Name*</t>
  </si>
  <si>
    <t>Middle Name</t>
  </si>
  <si>
    <t>Last Name*</t>
  </si>
  <si>
    <t>Gender*</t>
  </si>
  <si>
    <t>Blood Group</t>
  </si>
  <si>
    <t>Date Of Birth*(dd/mm/yyyy)</t>
  </si>
  <si>
    <t>Job Location*</t>
  </si>
  <si>
    <t>Department*</t>
  </si>
  <si>
    <t>Designation*</t>
  </si>
  <si>
    <t>Grade*</t>
  </si>
  <si>
    <t>PayGradematrix*</t>
  </si>
  <si>
    <t>Employee Type*</t>
  </si>
  <si>
    <t>Working Hr Per Day*</t>
  </si>
  <si>
    <t>Holiday Group*</t>
  </si>
  <si>
    <t>Current Shift*</t>
  </si>
  <si>
    <t>LIN Number</t>
  </si>
  <si>
    <t>Marital Status</t>
  </si>
  <si>
    <t>Emergency Contact Person</t>
  </si>
  <si>
    <t>Emergency Contact No</t>
  </si>
  <si>
    <t>Reporting to</t>
  </si>
  <si>
    <t>Current Address Line 1</t>
  </si>
  <si>
    <t>Current Address Line 2</t>
  </si>
  <si>
    <t>Current Address State</t>
  </si>
  <si>
    <t>Current Address City</t>
  </si>
  <si>
    <t>Current Address Pincode</t>
  </si>
  <si>
    <t>Permanent Address Line 1</t>
  </si>
  <si>
    <t>Permanent Address Line 2</t>
  </si>
  <si>
    <t>Permanent State</t>
  </si>
  <si>
    <t>Permanent Address City</t>
  </si>
  <si>
    <t>Permanent Address Pincode</t>
  </si>
  <si>
    <t>Bank Name</t>
  </si>
  <si>
    <t>Bank Account Number</t>
  </si>
  <si>
    <t>Bank IFSC Code</t>
  </si>
  <si>
    <t>Employee Name in Bank</t>
  </si>
  <si>
    <t>9 M Shift (Dhule)</t>
  </si>
  <si>
    <t>10 A Shift (Dhule)</t>
  </si>
  <si>
    <t>11 G Shift (Dhule)</t>
  </si>
  <si>
    <t>12 C Shift (Dhule)</t>
  </si>
  <si>
    <t>21 B Shift (Dhule)</t>
  </si>
  <si>
    <t>4 Dhule</t>
  </si>
  <si>
    <t>Married</t>
  </si>
  <si>
    <t>A+</t>
  </si>
  <si>
    <t>Yes</t>
  </si>
  <si>
    <t>Mr.</t>
  </si>
  <si>
    <t>Unmarried</t>
  </si>
  <si>
    <t>A-</t>
  </si>
  <si>
    <t>No</t>
  </si>
  <si>
    <t>Mrs.</t>
  </si>
  <si>
    <t>Divorcee</t>
  </si>
  <si>
    <t>B+</t>
  </si>
  <si>
    <t>Ms.</t>
  </si>
  <si>
    <t>Widow/Widower</t>
  </si>
  <si>
    <t>B-</t>
  </si>
  <si>
    <t>AB+</t>
  </si>
  <si>
    <t>AB-</t>
  </si>
  <si>
    <t>O+</t>
  </si>
  <si>
    <t>O-</t>
  </si>
  <si>
    <t>1 Male</t>
  </si>
  <si>
    <t>2 Female</t>
  </si>
  <si>
    <t>3 Transgender</t>
  </si>
  <si>
    <t>5 RBU Dhule</t>
  </si>
  <si>
    <t>9 Contactor Workers</t>
  </si>
  <si>
    <t>4 Production</t>
  </si>
  <si>
    <t>9 Maintenance</t>
  </si>
  <si>
    <t>10 NDT</t>
  </si>
  <si>
    <t>11 Quality</t>
  </si>
  <si>
    <t>12 Process Control</t>
  </si>
  <si>
    <t>13 Welding</t>
  </si>
  <si>
    <t>14 Hydra Driver</t>
  </si>
  <si>
    <t>15 Store</t>
  </si>
  <si>
    <t>16 Kit Store</t>
  </si>
  <si>
    <t>17 PIC</t>
  </si>
  <si>
    <t>18 Finishing (Post Molding)</t>
  </si>
  <si>
    <t>19 MPRP</t>
  </si>
  <si>
    <t>20 PREFAB</t>
  </si>
  <si>
    <t>21 Main Molding</t>
  </si>
  <si>
    <t>23 OHC</t>
  </si>
  <si>
    <t>24 PPC</t>
  </si>
  <si>
    <t>25 HSE</t>
  </si>
  <si>
    <t>27 Housekeeping</t>
  </si>
  <si>
    <t>28 Security</t>
  </si>
  <si>
    <t>31 Manufacturing Engineering</t>
  </si>
  <si>
    <t>32 Human Resource</t>
  </si>
  <si>
    <t>33 Finance</t>
  </si>
  <si>
    <t>34 L &amp; D</t>
  </si>
  <si>
    <t>35 Distpach</t>
  </si>
  <si>
    <t>36 Allied</t>
  </si>
  <si>
    <t>37 Forklift Driver</t>
  </si>
  <si>
    <t>15 ShiftIncharge</t>
  </si>
  <si>
    <t>16 ShiftSupervisor</t>
  </si>
  <si>
    <t>17 JuniorEngineer</t>
  </si>
  <si>
    <t>18 Engineer</t>
  </si>
  <si>
    <t>19 SeniorEngineer</t>
  </si>
  <si>
    <t>20 ForkliftDriver</t>
  </si>
  <si>
    <t>21 Driver</t>
  </si>
  <si>
    <t>22 JuniorOfficer</t>
  </si>
  <si>
    <t>23 Officer</t>
  </si>
  <si>
    <t>24 SeniorOfficer</t>
  </si>
  <si>
    <t>25 JuniorExecutive</t>
  </si>
  <si>
    <t>26 Executive</t>
  </si>
  <si>
    <t>27 SeniorExecutive</t>
  </si>
  <si>
    <t>28 AssistantManager</t>
  </si>
  <si>
    <t>29 Operator</t>
  </si>
  <si>
    <t>30 Helper</t>
  </si>
  <si>
    <t>31 Assistant</t>
  </si>
  <si>
    <t>32 ShopfloorAssistant</t>
  </si>
  <si>
    <t>33 Gardener</t>
  </si>
  <si>
    <t>34 Welder</t>
  </si>
  <si>
    <t>35 Fitter</t>
  </si>
  <si>
    <t>36 Turner</t>
  </si>
  <si>
    <t>37 Machinist</t>
  </si>
  <si>
    <t>38 SheetMetalOperator</t>
  </si>
  <si>
    <t>39 Electrician</t>
  </si>
  <si>
    <t>40 ElectronicMechanic</t>
  </si>
  <si>
    <t>41 COPA</t>
  </si>
  <si>
    <t>42 Plumber</t>
  </si>
  <si>
    <t>43 Wireman</t>
  </si>
  <si>
    <t>44 Carpenter</t>
  </si>
  <si>
    <t>45 Painter</t>
  </si>
  <si>
    <t>1 Technician</t>
  </si>
  <si>
    <t>2 TeamLeader</t>
  </si>
  <si>
    <t>3 HydraDriver</t>
  </si>
  <si>
    <t>12 Janitor</t>
  </si>
  <si>
    <t>13 Supervisor</t>
  </si>
  <si>
    <t>14 SecurityGuard</t>
  </si>
  <si>
    <t>46 Bevelling Operator</t>
  </si>
  <si>
    <t>47 Crane Operator</t>
  </si>
  <si>
    <t>21 Dhule_10Th - Semi-Skilled</t>
  </si>
  <si>
    <t>22 Dhule_12Th - Semi-Skilled</t>
  </si>
  <si>
    <t>23 Dhule_Diploma - Skilled-1</t>
  </si>
  <si>
    <t>24 Dhule_Hydra Driver - Skilled</t>
  </si>
  <si>
    <t>25 Dhule_ITI - Skilled</t>
  </si>
  <si>
    <t>26 Dhule_Shift Supervisors - Skilled</t>
  </si>
  <si>
    <t>27 Dhule_Un-Skilled</t>
  </si>
  <si>
    <t>28 Dhule_Welder</t>
  </si>
  <si>
    <t>1 L1</t>
  </si>
  <si>
    <t>3 L2</t>
  </si>
  <si>
    <t>4 L3</t>
  </si>
  <si>
    <t>Date Of Join*(dd/mm/yyyy)</t>
  </si>
  <si>
    <t>PF Number*</t>
  </si>
  <si>
    <t>PF UAN*</t>
  </si>
  <si>
    <t>ESIC No*</t>
  </si>
  <si>
    <t>PAN Number*</t>
  </si>
  <si>
    <t>Aadhar Number*</t>
  </si>
  <si>
    <t>Mobile Number*</t>
  </si>
  <si>
    <t>Anniversary Date (dd/mm/yyyy)</t>
  </si>
  <si>
    <t>5 L4</t>
  </si>
  <si>
    <t>6 NA</t>
  </si>
  <si>
    <t>4 Sunday</t>
  </si>
  <si>
    <t>Week Off Defination</t>
  </si>
  <si>
    <t>BI02</t>
  </si>
  <si>
    <t>BI07</t>
  </si>
  <si>
    <t>BI09</t>
  </si>
  <si>
    <t>BI10</t>
  </si>
  <si>
    <t>BI12</t>
  </si>
  <si>
    <t>BI13</t>
  </si>
  <si>
    <t>BI14</t>
  </si>
  <si>
    <t>BI16</t>
  </si>
  <si>
    <t>BI18</t>
  </si>
  <si>
    <t>BI20</t>
  </si>
  <si>
    <t>BI22</t>
  </si>
  <si>
    <t>BI23</t>
  </si>
  <si>
    <t>BI26</t>
  </si>
  <si>
    <t>BI28</t>
  </si>
  <si>
    <t>BI29</t>
  </si>
  <si>
    <t>BI34</t>
  </si>
  <si>
    <t>BI35</t>
  </si>
  <si>
    <t>BI36</t>
  </si>
  <si>
    <t>BI37</t>
  </si>
  <si>
    <t>BI38</t>
  </si>
  <si>
    <t>BI41</t>
  </si>
  <si>
    <t>BI42</t>
  </si>
  <si>
    <t>BI43</t>
  </si>
  <si>
    <t>BI44</t>
  </si>
  <si>
    <t>BI46</t>
  </si>
  <si>
    <t>BI47</t>
  </si>
  <si>
    <t>BI48</t>
  </si>
  <si>
    <t>BI49</t>
  </si>
  <si>
    <t>BI50</t>
  </si>
  <si>
    <t>BI51</t>
  </si>
  <si>
    <t>BI54</t>
  </si>
  <si>
    <t>BI56</t>
  </si>
  <si>
    <t>BI60</t>
  </si>
  <si>
    <t>BI61</t>
  </si>
  <si>
    <t>BI68</t>
  </si>
  <si>
    <t>BI69</t>
  </si>
  <si>
    <t>BI70</t>
  </si>
  <si>
    <t>BI71</t>
  </si>
  <si>
    <t>BI75</t>
  </si>
  <si>
    <t>BI76</t>
  </si>
  <si>
    <t>BI80</t>
  </si>
  <si>
    <t>BI82</t>
  </si>
  <si>
    <t>BI85</t>
  </si>
  <si>
    <t>BI91</t>
  </si>
  <si>
    <t>BI92</t>
  </si>
  <si>
    <t>BI99</t>
  </si>
  <si>
    <t>BI100</t>
  </si>
  <si>
    <t>BI108</t>
  </si>
  <si>
    <t>BI110</t>
  </si>
  <si>
    <t>BI122</t>
  </si>
  <si>
    <t>BI142</t>
  </si>
  <si>
    <t>BI143</t>
  </si>
  <si>
    <t>BI145</t>
  </si>
  <si>
    <t>BI147</t>
  </si>
  <si>
    <t>BI149</t>
  </si>
  <si>
    <t>BI151</t>
  </si>
  <si>
    <t>BI153</t>
  </si>
  <si>
    <t>BI156</t>
  </si>
  <si>
    <t>BI157</t>
  </si>
  <si>
    <t>BI159</t>
  </si>
  <si>
    <t>BI165</t>
  </si>
  <si>
    <t>BI166</t>
  </si>
  <si>
    <t>BI168</t>
  </si>
  <si>
    <t>BI169</t>
  </si>
  <si>
    <t>BI170</t>
  </si>
  <si>
    <t>BI172</t>
  </si>
  <si>
    <t>BI173</t>
  </si>
  <si>
    <t>BI175</t>
  </si>
  <si>
    <t>BI176</t>
  </si>
  <si>
    <t>BI180</t>
  </si>
  <si>
    <t>BI181</t>
  </si>
  <si>
    <t>BI183</t>
  </si>
  <si>
    <t>BI188</t>
  </si>
  <si>
    <t>BI192</t>
  </si>
  <si>
    <t>BI197</t>
  </si>
  <si>
    <t>BI202</t>
  </si>
  <si>
    <t>BI199</t>
  </si>
  <si>
    <t>BI201</t>
  </si>
  <si>
    <t>BI203</t>
  </si>
  <si>
    <t>BI204</t>
  </si>
  <si>
    <t>BI205</t>
  </si>
  <si>
    <t>BI206</t>
  </si>
  <si>
    <t>BI207</t>
  </si>
  <si>
    <t>BI208</t>
  </si>
  <si>
    <t>BI209</t>
  </si>
  <si>
    <t>BI210</t>
  </si>
  <si>
    <t>BI211</t>
  </si>
  <si>
    <t>BI212</t>
  </si>
  <si>
    <t>BI214</t>
  </si>
  <si>
    <t>BI216</t>
  </si>
  <si>
    <t>BI217</t>
  </si>
  <si>
    <t>BI219</t>
  </si>
  <si>
    <t>BI220</t>
  </si>
  <si>
    <t>BI221</t>
  </si>
  <si>
    <t>BI222</t>
  </si>
  <si>
    <t>BI223</t>
  </si>
  <si>
    <t>AMAR PRATAPSING RAJPUT</t>
  </si>
  <si>
    <t>BHUSHAN ANANDA GHODES</t>
  </si>
  <si>
    <t>DHANRAJ YUVRAJ BACHHAV</t>
  </si>
  <si>
    <t>DILVARASING VEDUSING RAJPUT</t>
  </si>
  <si>
    <t>DHANANJAY SHRIDHAR SONAWANE</t>
  </si>
  <si>
    <t>GURUDAS HILAL THAKARE</t>
  </si>
  <si>
    <t>HIRALAL BRIJLAL KOKANI</t>
  </si>
  <si>
    <t>ISHWAR KARBHARI GAWALE</t>
  </si>
  <si>
    <t>KUNAL PRALHAD PATIL</t>
  </si>
  <si>
    <t>MANIK VEDU BACHHAV</t>
  </si>
  <si>
    <t>NAGESHWAR RATAN RAJPUT</t>
  </si>
  <si>
    <t>NILESH RAVSAHEB DAHITE</t>
  </si>
  <si>
    <t>PRASHANT BAPU SONAWANE</t>
  </si>
  <si>
    <t>PAWAN SUBHASH SONAWANE</t>
  </si>
  <si>
    <t>PRATIK PANDHARINATH MAHIRE</t>
  </si>
  <si>
    <t>RAJENDRA VANJI BAGUL</t>
  </si>
  <si>
    <t>ROHIT VILAS BEDSE</t>
  </si>
  <si>
    <t>SUJIT RAJENDRA DEORE</t>
  </si>
  <si>
    <t xml:space="preserve">SHANKAR LASHYA BAGUL </t>
  </si>
  <si>
    <t>SAMADHAN BALU PATIL</t>
  </si>
  <si>
    <t>UMESH SUBHASH PATIL</t>
  </si>
  <si>
    <t>VINOD GULAB PAWAR</t>
  </si>
  <si>
    <t>YOGESH SHARAD DEORE</t>
  </si>
  <si>
    <t>YUVRAJ BRIJLAL CHOUDHARI</t>
  </si>
  <si>
    <t>YOGESH DIPAK GANGURDE</t>
  </si>
  <si>
    <t>YOGESH RAVINDRA PATIL</t>
  </si>
  <si>
    <t>YOGESHKUMAR SURESHCHANDRA GAWALE</t>
  </si>
  <si>
    <t>YUVRAJ PARSHURAM BARDE</t>
  </si>
  <si>
    <t>UJJWAL BHASKAR GANGURDE</t>
  </si>
  <si>
    <t>MANOJ KAILAS AHIRE</t>
  </si>
  <si>
    <t>KESHAV SAHEBRAO PAWAR</t>
  </si>
  <si>
    <t>DIPAK NAMDEV MALI</t>
  </si>
  <si>
    <t>AJIT KISAN GAVIT</t>
  </si>
  <si>
    <t>MACHHINDRA CHANDRASING PADAVI</t>
  </si>
  <si>
    <t>NITIN JAGDEV BORASE</t>
  </si>
  <si>
    <t>VASANT KISAN MAHALE</t>
  </si>
  <si>
    <t>SAMADHAN GOKUL KHAIRNAR</t>
  </si>
  <si>
    <t>HARSHAL GULAB SHINDE</t>
  </si>
  <si>
    <t>DHANRAJ RATAN CHAUHAN</t>
  </si>
  <si>
    <t>SWAPNIL NANA HIRE</t>
  </si>
  <si>
    <t>CHANDRAKALA HIRAMAN CHAUDHARY</t>
  </si>
  <si>
    <t xml:space="preserve">VIJAYA GANESH KOKANI </t>
  </si>
  <si>
    <t>ANJANA RAMESH CHAURE</t>
  </si>
  <si>
    <t>HARSHAL ISHWAR AHIRAV</t>
  </si>
  <si>
    <t>PRAVIN NARAYAN GIRASE</t>
  </si>
  <si>
    <t>KALPESH SANJAY PATIL</t>
  </si>
  <si>
    <t>DINESH GULAB PAWAR</t>
  </si>
  <si>
    <t>SACHIN DADAJI SURYAWANSHI</t>
  </si>
  <si>
    <t>SHAILESH SAMBHAJI CHITTE</t>
  </si>
  <si>
    <t>SUBHASH HIRAMAN JAGTAP</t>
  </si>
  <si>
    <t>RAJESH DINESH GHUGE</t>
  </si>
  <si>
    <t>JAYASHRI BHIMRAO KUWAR</t>
  </si>
  <si>
    <t>PRAVIN RAM PAWAR</t>
  </si>
  <si>
    <t>KHANDU RAMDAS THAKARE</t>
  </si>
  <si>
    <t>VIJAY LOTAN SONAWANE</t>
  </si>
  <si>
    <t xml:space="preserve">SAGAR KISHOR THAKARE </t>
  </si>
  <si>
    <t xml:space="preserve">ROHIT DAGA MORE </t>
  </si>
  <si>
    <t>DIPAK UTTAM GAVIT</t>
  </si>
  <si>
    <t>RAHUL VIJAY DEORE</t>
  </si>
  <si>
    <t>ISHWAR RAMESH MORE</t>
  </si>
  <si>
    <t>PRAVIN RAMRAO VENDAIT</t>
  </si>
  <si>
    <t xml:space="preserve">AKSHAY SACHIN KALE </t>
  </si>
  <si>
    <t>DEVENDRA MURLIDHAR PAWAR</t>
  </si>
  <si>
    <t>AKASHDIP SUBHASH CHAURE</t>
  </si>
  <si>
    <t>RAJENDRA DHARMA NYAHALDE</t>
  </si>
  <si>
    <t>GANGURDE BHARAT BABULAL</t>
  </si>
  <si>
    <t>BHUSHAN RAVINDRA DHOBI</t>
  </si>
  <si>
    <t>KUNAL VIJAY PATIL</t>
  </si>
  <si>
    <t>JIVAN RAJENDRA GAVALE</t>
  </si>
  <si>
    <t>NILESH MADHAVRAO PATIL</t>
  </si>
  <si>
    <t>DINESH SAMBHU JADHAV</t>
  </si>
  <si>
    <t>DIPAK BHAIDAS SURYAWANSHI</t>
  </si>
  <si>
    <t>LAXMI GANESH JAGTAP</t>
  </si>
  <si>
    <t>PUSHKAR NANDU DEORE</t>
  </si>
  <si>
    <t>RAJ VIKRAM KAPDE</t>
  </si>
  <si>
    <t>BHARATIYA TANAJI SHEVALE</t>
  </si>
  <si>
    <t>CHETAN N GIRASE</t>
  </si>
  <si>
    <t>KRUSHANA S PAWAR</t>
  </si>
  <si>
    <t>AMOL V KHAIRNAR</t>
  </si>
  <si>
    <t>KALPESH GIRASE</t>
  </si>
  <si>
    <t>DEVENDRA GIRASE</t>
  </si>
  <si>
    <t>VINOD DEVIDAS PATIL</t>
  </si>
  <si>
    <t>VILAS RAMESH MORE</t>
  </si>
  <si>
    <t>DHANRAJ PRAKASH DEORE</t>
  </si>
  <si>
    <t>LAKHESING UDESING RAJPUT</t>
  </si>
  <si>
    <t>VISNU NIMBA BRAMHANE</t>
  </si>
  <si>
    <t>BHARAT SAHADU NIKUMBH</t>
  </si>
  <si>
    <t>RAMAKANT KALU AHIRE</t>
  </si>
  <si>
    <t>GANESH JAGAN JAGTAP</t>
  </si>
  <si>
    <t>KARAN NIMBA AHIRE</t>
  </si>
  <si>
    <t>RAHUL TIKARAM JAGTAP</t>
  </si>
  <si>
    <t>NILESH NIMBA MALI</t>
  </si>
  <si>
    <t>SAMADHAN MOTILAL PAGARE</t>
  </si>
  <si>
    <t>VILAS ASHOK CHAVAN</t>
  </si>
  <si>
    <t>GOPAL AMRUT MUJAGE</t>
  </si>
  <si>
    <t>AMAR</t>
  </si>
  <si>
    <t>BHATU</t>
  </si>
  <si>
    <t>BHUSHAN</t>
  </si>
  <si>
    <t>DHANRAJ</t>
  </si>
  <si>
    <t>DILVARASING</t>
  </si>
  <si>
    <t>DHANANJAY</t>
  </si>
  <si>
    <t>GURUDAS</t>
  </si>
  <si>
    <t>HIRALAL</t>
  </si>
  <si>
    <t>ISHWAR</t>
  </si>
  <si>
    <t>KUNAL</t>
  </si>
  <si>
    <t>MANIK</t>
  </si>
  <si>
    <t>NAGESHWAR</t>
  </si>
  <si>
    <t>NILESH</t>
  </si>
  <si>
    <t>PRASHANT</t>
  </si>
  <si>
    <t>PAWAN</t>
  </si>
  <si>
    <t>PRATIK</t>
  </si>
  <si>
    <t>RAJENDRA</t>
  </si>
  <si>
    <t>ROHIT</t>
  </si>
  <si>
    <t>SUJIT</t>
  </si>
  <si>
    <t>SHANKAR</t>
  </si>
  <si>
    <t>SAMADHAN</t>
  </si>
  <si>
    <t>UMESH</t>
  </si>
  <si>
    <t>VINOD</t>
  </si>
  <si>
    <t>YOGESH</t>
  </si>
  <si>
    <t>YUVRAJ</t>
  </si>
  <si>
    <t>YOGESHKUMAR</t>
  </si>
  <si>
    <t>UJJWAL</t>
  </si>
  <si>
    <t>MANOJ</t>
  </si>
  <si>
    <t>KESHAV</t>
  </si>
  <si>
    <t>DIPAK</t>
  </si>
  <si>
    <t>AJIT</t>
  </si>
  <si>
    <t>MACHHINDRA</t>
  </si>
  <si>
    <t>NITIN</t>
  </si>
  <si>
    <t>VASANT</t>
  </si>
  <si>
    <t>HARSHAL</t>
  </si>
  <si>
    <t>SWAPNIL</t>
  </si>
  <si>
    <t>CHANDRAKALA</t>
  </si>
  <si>
    <t>VIJAYA</t>
  </si>
  <si>
    <t>ANJANA</t>
  </si>
  <si>
    <t>PRAVIN</t>
  </si>
  <si>
    <t>HEMANT</t>
  </si>
  <si>
    <t>KALPESH</t>
  </si>
  <si>
    <t>DINESH</t>
  </si>
  <si>
    <t>SACHIN</t>
  </si>
  <si>
    <t>SHAILESH</t>
  </si>
  <si>
    <t>SUBHASH</t>
  </si>
  <si>
    <t>RAJESH</t>
  </si>
  <si>
    <t>JAYASHRI</t>
  </si>
  <si>
    <t>KHANDU</t>
  </si>
  <si>
    <t>VIJAY</t>
  </si>
  <si>
    <t>SAGAR</t>
  </si>
  <si>
    <t>RAHUL</t>
  </si>
  <si>
    <t>AKSHAY</t>
  </si>
  <si>
    <t>DEVENDRA</t>
  </si>
  <si>
    <t>AKASHDIP</t>
  </si>
  <si>
    <t>GANGURDE</t>
  </si>
  <si>
    <t>JIVAN</t>
  </si>
  <si>
    <t>LAXMI</t>
  </si>
  <si>
    <t>PUSHKAR</t>
  </si>
  <si>
    <t>RAJ</t>
  </si>
  <si>
    <t>BHARATIYA</t>
  </si>
  <si>
    <t>CHETAN</t>
  </si>
  <si>
    <t>KRUSHANA</t>
  </si>
  <si>
    <t>AMOL</t>
  </si>
  <si>
    <t>VILAS</t>
  </si>
  <si>
    <t>LAKHESING</t>
  </si>
  <si>
    <t>VISNU</t>
  </si>
  <si>
    <t>BHARAT</t>
  </si>
  <si>
    <t>RAMAKANT</t>
  </si>
  <si>
    <t>GANESH</t>
  </si>
  <si>
    <t>KARAN</t>
  </si>
  <si>
    <t>GOPAL</t>
  </si>
  <si>
    <t>VIKAS</t>
  </si>
  <si>
    <t>PRATAPSING</t>
  </si>
  <si>
    <t>RAMESH</t>
  </si>
  <si>
    <t>ANANDA</t>
  </si>
  <si>
    <t>VEDUSING</t>
  </si>
  <si>
    <t>SHRIDHAR</t>
  </si>
  <si>
    <t>HILAL</t>
  </si>
  <si>
    <t>BRIJLAL</t>
  </si>
  <si>
    <t>KARBHARI</t>
  </si>
  <si>
    <t>PRALHAD</t>
  </si>
  <si>
    <t>VEDU</t>
  </si>
  <si>
    <t>RATAN</t>
  </si>
  <si>
    <t>RAVSAHEB</t>
  </si>
  <si>
    <t>BAPU</t>
  </si>
  <si>
    <t>PANDHARINATH</t>
  </si>
  <si>
    <t>VANJI</t>
  </si>
  <si>
    <t>LASHYA</t>
  </si>
  <si>
    <t>BALU</t>
  </si>
  <si>
    <t>GULAB</t>
  </si>
  <si>
    <t>SHARAD</t>
  </si>
  <si>
    <t>RAVINDRA</t>
  </si>
  <si>
    <t>SURESHCHANDRA</t>
  </si>
  <si>
    <t>PARSHURAM</t>
  </si>
  <si>
    <t>BHASKAR</t>
  </si>
  <si>
    <t>KAILAS</t>
  </si>
  <si>
    <t>SAHEBRAO</t>
  </si>
  <si>
    <t>NAMDEV</t>
  </si>
  <si>
    <t>KISAN</t>
  </si>
  <si>
    <t>CHANDRASING</t>
  </si>
  <si>
    <t>JAGDEV</t>
  </si>
  <si>
    <t>GOKUL</t>
  </si>
  <si>
    <t>NANA</t>
  </si>
  <si>
    <t>HIRAMAN</t>
  </si>
  <si>
    <t>SARDAR</t>
  </si>
  <si>
    <t>NARAYAN</t>
  </si>
  <si>
    <t>SANJAY</t>
  </si>
  <si>
    <t>DADAJI</t>
  </si>
  <si>
    <t>SAMBHAJI</t>
  </si>
  <si>
    <t>PRAKASH</t>
  </si>
  <si>
    <t>BHIMRAO</t>
  </si>
  <si>
    <t>RAM</t>
  </si>
  <si>
    <t>RAMDAS</t>
  </si>
  <si>
    <t>LOTAN</t>
  </si>
  <si>
    <t>KISHOR</t>
  </si>
  <si>
    <t>DAGA</t>
  </si>
  <si>
    <t>UTTAM</t>
  </si>
  <si>
    <t>RAMRAO</t>
  </si>
  <si>
    <t>MURLIDHAR</t>
  </si>
  <si>
    <t>DHARMA</t>
  </si>
  <si>
    <t>MADHAVRAO</t>
  </si>
  <si>
    <t>SAMBHU</t>
  </si>
  <si>
    <t>BHAIDAS</t>
  </si>
  <si>
    <t>NANDU</t>
  </si>
  <si>
    <t>VIKRAM</t>
  </si>
  <si>
    <t>TANAJI</t>
  </si>
  <si>
    <t>N</t>
  </si>
  <si>
    <t>S</t>
  </si>
  <si>
    <t>V</t>
  </si>
  <si>
    <t>DEVIDAS</t>
  </si>
  <si>
    <t>UDESING</t>
  </si>
  <si>
    <t>NIMBA</t>
  </si>
  <si>
    <t>SAHADU</t>
  </si>
  <si>
    <t>KALU</t>
  </si>
  <si>
    <t>JAGAN</t>
  </si>
  <si>
    <t>TIKARAM</t>
  </si>
  <si>
    <t>MOTILAL</t>
  </si>
  <si>
    <t>ASHOK</t>
  </si>
  <si>
    <t>AMRUT</t>
  </si>
  <si>
    <t>RAJPUT</t>
  </si>
  <si>
    <t>BORSE</t>
  </si>
  <si>
    <t>GHODES</t>
  </si>
  <si>
    <t>BACHHAV</t>
  </si>
  <si>
    <t>SONAWANE</t>
  </si>
  <si>
    <t>THAKARE</t>
  </si>
  <si>
    <t>KOKANI</t>
  </si>
  <si>
    <t>GAWALE</t>
  </si>
  <si>
    <t>PATIL</t>
  </si>
  <si>
    <t>DAHITE</t>
  </si>
  <si>
    <t>MAHIRE</t>
  </si>
  <si>
    <t>BAGUL</t>
  </si>
  <si>
    <t>BEDSE</t>
  </si>
  <si>
    <t>DEORE</t>
  </si>
  <si>
    <t>PAWAR</t>
  </si>
  <si>
    <t>CHOUDHARI</t>
  </si>
  <si>
    <t>BARDE</t>
  </si>
  <si>
    <t>AHIRE</t>
  </si>
  <si>
    <t>MALI</t>
  </si>
  <si>
    <t>GAVIT</t>
  </si>
  <si>
    <t>PADAVI</t>
  </si>
  <si>
    <t>BORASE</t>
  </si>
  <si>
    <t>MAHALE</t>
  </si>
  <si>
    <t>KHAIRNAR</t>
  </si>
  <si>
    <t>SHINDE</t>
  </si>
  <si>
    <t>CHAUHAN</t>
  </si>
  <si>
    <t>HIRE</t>
  </si>
  <si>
    <t>CHAUDHARY</t>
  </si>
  <si>
    <t>CHAURE</t>
  </si>
  <si>
    <t>AHIRAV</t>
  </si>
  <si>
    <t>GIRASE</t>
  </si>
  <si>
    <t>SURYAWANSHI</t>
  </si>
  <si>
    <t>CHITTE</t>
  </si>
  <si>
    <t>JAGTAP</t>
  </si>
  <si>
    <t>GHUGE</t>
  </si>
  <si>
    <t>KUWAR</t>
  </si>
  <si>
    <t>MORE</t>
  </si>
  <si>
    <t>VENDAIT</t>
  </si>
  <si>
    <t>KALE</t>
  </si>
  <si>
    <t>NYAHALDE</t>
  </si>
  <si>
    <t>BABULAL</t>
  </si>
  <si>
    <t>DHOBI</t>
  </si>
  <si>
    <t>GAVALE</t>
  </si>
  <si>
    <t>JADHAV</t>
  </si>
  <si>
    <t>KAPDE</t>
  </si>
  <si>
    <t>SHEVALE</t>
  </si>
  <si>
    <t>BRAMHANE</t>
  </si>
  <si>
    <t>NIKUMBH</t>
  </si>
  <si>
    <t>PAGARE</t>
  </si>
  <si>
    <t>CHAVAN</t>
  </si>
  <si>
    <t>MUJAGE</t>
  </si>
  <si>
    <t>ITI</t>
  </si>
  <si>
    <t>12th</t>
  </si>
  <si>
    <t>DIPLOMA</t>
  </si>
  <si>
    <t>SKILLED</t>
  </si>
  <si>
    <t>SEMISKILLED</t>
  </si>
  <si>
    <t>SKILLED 1</t>
  </si>
  <si>
    <t>12HR</t>
  </si>
  <si>
    <t>101998412316</t>
  </si>
  <si>
    <t>101286824507</t>
  </si>
  <si>
    <t>101998412242</t>
  </si>
  <si>
    <t>100524892176</t>
  </si>
  <si>
    <t>101998412257</t>
  </si>
  <si>
    <t>101998410975</t>
  </si>
  <si>
    <t>101932259863</t>
  </si>
  <si>
    <t>101998410999</t>
  </si>
  <si>
    <t>101998410906</t>
  </si>
  <si>
    <t>101998412261</t>
  </si>
  <si>
    <t>101998410910</t>
  </si>
  <si>
    <t>101773531475</t>
  </si>
  <si>
    <t>101811169314</t>
  </si>
  <si>
    <t>101998410923</t>
  </si>
  <si>
    <t>100931744740</t>
  </si>
  <si>
    <t>101998412288</t>
  </si>
  <si>
    <t>101998410896</t>
  </si>
  <si>
    <t>101998410947</t>
  </si>
  <si>
    <t>101998412226</t>
  </si>
  <si>
    <t>102031492271</t>
  </si>
  <si>
    <t>101998412300</t>
  </si>
  <si>
    <t>101998410952</t>
  </si>
  <si>
    <t>101998410968</t>
  </si>
  <si>
    <t>101862946277</t>
  </si>
  <si>
    <t>101935692043</t>
  </si>
  <si>
    <t>101469905780</t>
  </si>
  <si>
    <t>102031514506</t>
  </si>
  <si>
    <t>102011399698</t>
  </si>
  <si>
    <t>102073735844</t>
  </si>
  <si>
    <t>102039270152</t>
  </si>
  <si>
    <t>102039270175</t>
  </si>
  <si>
    <t>102044272028</t>
  </si>
  <si>
    <t>102044272016</t>
  </si>
  <si>
    <t>100260328551</t>
  </si>
  <si>
    <t>102044271974</t>
  </si>
  <si>
    <t>102044272092</t>
  </si>
  <si>
    <t>102061056857</t>
  </si>
  <si>
    <t>101559624829</t>
  </si>
  <si>
    <t>101657215308</t>
  </si>
  <si>
    <t>102061056861</t>
  </si>
  <si>
    <t>102044272085</t>
  </si>
  <si>
    <t>100783170010</t>
  </si>
  <si>
    <t>101404563621</t>
  </si>
  <si>
    <t>102060214371</t>
  </si>
  <si>
    <t>102060214328</t>
  </si>
  <si>
    <t>101972150992</t>
  </si>
  <si>
    <t>102086739220</t>
  </si>
  <si>
    <t>101180277073</t>
  </si>
  <si>
    <t>101774205395</t>
  </si>
  <si>
    <t>102087013247</t>
  </si>
  <si>
    <t>101745017344</t>
  </si>
  <si>
    <t>102087013223</t>
  </si>
  <si>
    <t>102053044635</t>
  </si>
  <si>
    <t>101669415548</t>
  </si>
  <si>
    <t>102015013963</t>
  </si>
  <si>
    <t>102145198316</t>
  </si>
  <si>
    <t>102145198328</t>
  </si>
  <si>
    <t>102004379613</t>
  </si>
  <si>
    <t>100717800250</t>
  </si>
  <si>
    <t>100513448097</t>
  </si>
  <si>
    <t>102145199820</t>
  </si>
  <si>
    <t>101709800816</t>
  </si>
  <si>
    <t>101254778890</t>
  </si>
  <si>
    <t>102145199780</t>
  </si>
  <si>
    <t>101449361258</t>
  </si>
  <si>
    <t>102145199934</t>
  </si>
  <si>
    <t>102111650542</t>
  </si>
  <si>
    <t>102128354623</t>
  </si>
  <si>
    <t>101832541507</t>
  </si>
  <si>
    <t>102145199798</t>
  </si>
  <si>
    <t>101282961850</t>
  </si>
  <si>
    <t>102159207254</t>
  </si>
  <si>
    <t>102168525854</t>
  </si>
  <si>
    <t>101749158579</t>
  </si>
  <si>
    <t>101177567973</t>
  </si>
  <si>
    <t>102209324603</t>
  </si>
  <si>
    <t>100681638527</t>
  </si>
  <si>
    <t>102209324559</t>
  </si>
  <si>
    <t>102209324563</t>
  </si>
  <si>
    <t>101887410558</t>
  </si>
  <si>
    <t>100413082089</t>
  </si>
  <si>
    <t>102209324571</t>
  </si>
  <si>
    <t>101779534941</t>
  </si>
  <si>
    <t>101715276532</t>
  </si>
  <si>
    <t>101457368898</t>
  </si>
  <si>
    <t>100524751762</t>
  </si>
  <si>
    <t>102209324537</t>
  </si>
  <si>
    <t>100479859152</t>
  </si>
  <si>
    <t>102209519208</t>
  </si>
  <si>
    <t>102214665914</t>
  </si>
  <si>
    <t>102235172706</t>
  </si>
  <si>
    <t>102209324528</t>
  </si>
  <si>
    <t>102224064230</t>
  </si>
  <si>
    <t>2504643591</t>
  </si>
  <si>
    <t>2504643755</t>
  </si>
  <si>
    <t>2504643774</t>
  </si>
  <si>
    <t>2504644649</t>
  </si>
  <si>
    <t>2504644779</t>
  </si>
  <si>
    <t>2504721739</t>
  </si>
  <si>
    <t>2504878491</t>
  </si>
  <si>
    <t>2504644844</t>
  </si>
  <si>
    <t>2504866138</t>
  </si>
  <si>
    <t>2504647442</t>
  </si>
  <si>
    <t>2504647447</t>
  </si>
  <si>
    <t>3314819914</t>
  </si>
  <si>
    <t>2504647493</t>
  </si>
  <si>
    <t>2504647543</t>
  </si>
  <si>
    <t>2504647556</t>
  </si>
  <si>
    <t>2504647567</t>
  </si>
  <si>
    <t>2504647574</t>
  </si>
  <si>
    <t>2504647582</t>
  </si>
  <si>
    <t>2504647663</t>
  </si>
  <si>
    <t>2504647705</t>
  </si>
  <si>
    <t>2504647709</t>
  </si>
  <si>
    <t>2504647711</t>
  </si>
  <si>
    <t>2504647713</t>
  </si>
  <si>
    <t>2504878484</t>
  </si>
  <si>
    <t>2504878419</t>
  </si>
  <si>
    <t>2504681598</t>
  </si>
  <si>
    <t>2504880074</t>
  </si>
  <si>
    <t>2504714499</t>
  </si>
  <si>
    <t>2504714525</t>
  </si>
  <si>
    <t>2504878305</t>
  </si>
  <si>
    <t>2504714696</t>
  </si>
  <si>
    <t>2504714837</t>
  </si>
  <si>
    <t>2504714848</t>
  </si>
  <si>
    <t>2504715382</t>
  </si>
  <si>
    <t>2504878412</t>
  </si>
  <si>
    <t>2504880085</t>
  </si>
  <si>
    <t>2504878476</t>
  </si>
  <si>
    <t>2504943390</t>
  </si>
  <si>
    <t>1816542689</t>
  </si>
  <si>
    <t>2504892284</t>
  </si>
  <si>
    <t>2504887974</t>
  </si>
  <si>
    <t> 2505018392</t>
  </si>
  <si>
    <t>2505032628</t>
  </si>
  <si>
    <t>907511288411</t>
  </si>
  <si>
    <t>914877690325</t>
  </si>
  <si>
    <t>696508239066</t>
  </si>
  <si>
    <t>531671276642</t>
  </si>
  <si>
    <t>311388825660</t>
  </si>
  <si>
    <t>335432160145</t>
  </si>
  <si>
    <t>452915576062</t>
  </si>
  <si>
    <t>448151133904</t>
  </si>
  <si>
    <t>266284029144</t>
  </si>
  <si>
    <t>556707289080</t>
  </si>
  <si>
    <t>450131517604</t>
  </si>
  <si>
    <t>274569100793</t>
  </si>
  <si>
    <t>774653040083</t>
  </si>
  <si>
    <t>610333212557</t>
  </si>
  <si>
    <t>Shanimadal Tal Nandurbar</t>
  </si>
  <si>
    <t>Khori Tal sakri</t>
  </si>
  <si>
    <t>Titane Tal Sakri,Dhule</t>
  </si>
  <si>
    <t>Talwade Tal Nadurbar</t>
  </si>
  <si>
    <t xml:space="preserve">Chhadvel KordeTal Sakri dhule </t>
  </si>
  <si>
    <t>Navapada tal Sakri</t>
  </si>
  <si>
    <t>Bhamer Tal sakri, Dhule</t>
  </si>
  <si>
    <t>Khori Tal. Sakri, Dhule</t>
  </si>
  <si>
    <t>Shanimandal Tal Nandurbar</t>
  </si>
  <si>
    <t>Vaskhedi Tal Sakri</t>
  </si>
  <si>
    <t>Pachale Tal Sakri</t>
  </si>
  <si>
    <t>Dhawali  Tal Sakri</t>
  </si>
  <si>
    <t>Pimpalner Tal sakri</t>
  </si>
  <si>
    <t>Sinbun Tal Dhule</t>
  </si>
  <si>
    <t>kathi Tal Akkalkuva</t>
  </si>
  <si>
    <t>Khori Tal Sakri</t>
  </si>
  <si>
    <t>Jaitane Tal Sakri</t>
  </si>
  <si>
    <t>BAMHANE SHINDKHEDA DHULE (MH)</t>
  </si>
  <si>
    <t>HOUSE NO-454 KAMATWADA NASHIK (MH)</t>
  </si>
  <si>
    <t>MU POST-SHANIMANDAL NANDURBAR (MH)</t>
  </si>
  <si>
    <t>TALWADE BK KHARDE NANDURBAR (MH)</t>
  </si>
  <si>
    <t>AT-VISPUDE POST-DHANER TH-SAKRI DHULE (MH)</t>
  </si>
  <si>
    <t>VADADE TAVKHEDA SINDKHEDA DHULE (MH)</t>
  </si>
  <si>
    <t>AT-PACHALE, PO CHANDVEL SAKRI DHULE (MH)</t>
  </si>
  <si>
    <t>VASKEDI TAL SAKRI</t>
  </si>
  <si>
    <t>CHHADWEL (KORDE) SAKRI DHULE</t>
  </si>
  <si>
    <t>BHAMER SAKRI DHULE (MH)</t>
  </si>
  <si>
    <t>SHANIMANDAL</t>
  </si>
  <si>
    <t xml:space="preserve">Titane </t>
  </si>
  <si>
    <t xml:space="preserve">Chipalipada </t>
  </si>
  <si>
    <t>AMKHEL</t>
  </si>
  <si>
    <t>Chhadwel Tal Sakri</t>
  </si>
  <si>
    <t>AT MAVJIPADA POST-SAWAPADA DHULE,Dist:Dhule,Maharashtra,424304</t>
  </si>
  <si>
    <t>MU PO SUTARE NANDURBAR,Dist:Nandurbar,Maharashtra,425412</t>
  </si>
  <si>
    <t>DHNGAR VADA SAKRI JAITANE NIZAMPUR SAKRI DHULE,Dist:Dhule,Maharashtra,424305</t>
  </si>
  <si>
    <t>GHOGALGAV ASHTE NANDURBAR,Dist:Nandurbar,Maharashtra,425412</t>
  </si>
  <si>
    <t>MU TALWADE KHURD PO-SHANIMANDAL NANDURBAR,Dist:Nandurbar,Maharashtra,425408</t>
  </si>
  <si>
    <t>SANT SAVATA CHAUK, AT PO-KHUDANE, TAL-SAKRI,Dist:Dhule,Maharashtra,424305</t>
  </si>
  <si>
    <t>AT TALWADE PO KHAARDEKHURDE TA NANDURBAR,TALWADE BK,Dist:Nandurbar,Maharashtra,425408</t>
  </si>
  <si>
    <t>SWAMI VIVEKANAND CHAUK JAITANE NIZAMPUR DHULE,Dist:Dhule,Maharashtra,424305</t>
  </si>
  <si>
    <t>VASKHEDI DHULE,Dist:Dhule,Maharashtra,424305</t>
  </si>
  <si>
    <t>AT-PACHAL, PO-CHHADWEL KORDE, CHADVEL, SAKRI, DHULE MH-424305</t>
  </si>
  <si>
    <t>VTC. INDAWE PO-DNDAVE SAKRI DHULE,Dist:Dhule,Maharashtra,424408</t>
  </si>
  <si>
    <t>VTC-AKHADE,SAKRI, DHULE</t>
  </si>
  <si>
    <t>Perajpur Dhule Maharashtra</t>
  </si>
  <si>
    <t>Ranale Tal Nandurbar</t>
  </si>
  <si>
    <t>Kasare Tal Sakri</t>
  </si>
  <si>
    <t>GURUKUL NAGAR NO 2 T HAVELI NANDURBAR</t>
  </si>
  <si>
    <t>TITANE DHULE MAHARASHTRA</t>
  </si>
  <si>
    <t xml:space="preserve">KHORI TAL SAKRI, DHULE </t>
  </si>
  <si>
    <t>CHHADWAL KORE DHULE MAHARASHTRA</t>
  </si>
  <si>
    <t>VALHAVE POST AMRHEL DHULE MAHARASHTRA</t>
  </si>
  <si>
    <t>CHADVEL DIS DAKRI , DHULE MAHARASHTRA 424305</t>
  </si>
  <si>
    <t>BODAKIKHADI TEL SAKRI DIS DHULE 424304</t>
  </si>
  <si>
    <t>BODAKIKHADI POST KHARADBARI TAL SAKRI DIS DHULE</t>
  </si>
  <si>
    <t>MU POST SHNIMANDAL NANDURBAR 425408</t>
  </si>
  <si>
    <t>JAY MALHAR CHOK JAITANE DHULE 424305</t>
  </si>
  <si>
    <t>MANGAL BAZAR MARATHA GALLI NANDURBAR 425412</t>
  </si>
  <si>
    <t>Shanimadal</t>
  </si>
  <si>
    <t>Khori</t>
  </si>
  <si>
    <t>Titane</t>
  </si>
  <si>
    <t>Talwade</t>
  </si>
  <si>
    <t>Chhadvel</t>
  </si>
  <si>
    <t>Navapada</t>
  </si>
  <si>
    <t>Bhamer</t>
  </si>
  <si>
    <t>Shanimandal</t>
  </si>
  <si>
    <t>Vaskhedi</t>
  </si>
  <si>
    <t>Pachale</t>
  </si>
  <si>
    <t>Dhawali</t>
  </si>
  <si>
    <t>Pimpalner</t>
  </si>
  <si>
    <t>Sinbun</t>
  </si>
  <si>
    <t>kathi</t>
  </si>
  <si>
    <t>Jaitane</t>
  </si>
  <si>
    <t>BAMHANE</t>
  </si>
  <si>
    <t>TALWADE</t>
  </si>
  <si>
    <t>VADADE</t>
  </si>
  <si>
    <t>VASKEDI</t>
  </si>
  <si>
    <t>CHHADWEL</t>
  </si>
  <si>
    <t>BHAMER</t>
  </si>
  <si>
    <t>Chipalipada</t>
  </si>
  <si>
    <t>Chhadwel</t>
  </si>
  <si>
    <t>DHNGAR</t>
  </si>
  <si>
    <t>GHOGALGAV</t>
  </si>
  <si>
    <t>Nandurbar</t>
  </si>
  <si>
    <t>sakri</t>
  </si>
  <si>
    <t>Dhule</t>
  </si>
  <si>
    <t>Nadurbar</t>
  </si>
  <si>
    <t>dhule</t>
  </si>
  <si>
    <t>Sakri</t>
  </si>
  <si>
    <t>Akkalkuva</t>
  </si>
  <si>
    <t>NANDURBAR</t>
  </si>
  <si>
    <t>DHULE</t>
  </si>
  <si>
    <t>BI224</t>
  </si>
  <si>
    <t>BI225</t>
  </si>
  <si>
    <t>BI226</t>
  </si>
  <si>
    <t>BI227</t>
  </si>
  <si>
    <t>BI229</t>
  </si>
  <si>
    <t>BI230</t>
  </si>
  <si>
    <t>BI231</t>
  </si>
  <si>
    <t>BI232</t>
  </si>
  <si>
    <t>BI233</t>
  </si>
  <si>
    <t>BI234</t>
  </si>
  <si>
    <t>BI237</t>
  </si>
  <si>
    <t>MH</t>
  </si>
  <si>
    <t>BHAIYA NARAYAN MORE</t>
  </si>
  <si>
    <t>HEMANT RAVINDRA RATHOD</t>
  </si>
  <si>
    <t>TEJAS YASHWNAT SURYVANSHI</t>
  </si>
  <si>
    <t xml:space="preserve">HEMRAJ SANJAY BHADANE </t>
  </si>
  <si>
    <t>JAYESH CHATUR SURYAVANSHI</t>
  </si>
  <si>
    <t>LALIT YOGESH SONAWANE</t>
  </si>
  <si>
    <t>KAILASH SUBHSH KHAIRNAR</t>
  </si>
  <si>
    <t xml:space="preserve">NITIN CHHOTU SONAVANE </t>
  </si>
  <si>
    <t>BALU JAGAN GAIKWAD</t>
  </si>
  <si>
    <t>SAGAR BAPU MAHALE</t>
  </si>
  <si>
    <t>AMOL NAVL PATIL</t>
  </si>
  <si>
    <t>BHAIYA</t>
  </si>
  <si>
    <t>TEJAS</t>
  </si>
  <si>
    <t>HEMRAJ</t>
  </si>
  <si>
    <t>JAYESH</t>
  </si>
  <si>
    <t>LALIT</t>
  </si>
  <si>
    <t>KAILASH</t>
  </si>
  <si>
    <t>YASHWNAT</t>
  </si>
  <si>
    <t>AVINASH</t>
  </si>
  <si>
    <t>CHATUR</t>
  </si>
  <si>
    <t>SUBHSH</t>
  </si>
  <si>
    <t>CHHOTU</t>
  </si>
  <si>
    <t>NAVL</t>
  </si>
  <si>
    <t>RATHOD</t>
  </si>
  <si>
    <t>SURYVANSHI</t>
  </si>
  <si>
    <t>BHADANE</t>
  </si>
  <si>
    <t>SURYAVANSHI</t>
  </si>
  <si>
    <t>SONAVANE</t>
  </si>
  <si>
    <t>GAIKWAD</t>
  </si>
  <si>
    <t>WAGH</t>
  </si>
  <si>
    <t>15/12/1995</t>
  </si>
  <si>
    <t>23/06/2001</t>
  </si>
  <si>
    <t>13/10/2002</t>
  </si>
  <si>
    <t>25/03/1995</t>
  </si>
  <si>
    <t>30/03/1981</t>
  </si>
  <si>
    <t>23/12/2004</t>
  </si>
  <si>
    <t>14/08/1998</t>
  </si>
  <si>
    <t>13/09/2025</t>
  </si>
  <si>
    <t>26/10/2025</t>
  </si>
  <si>
    <t>MAHARASHTRA GRAMIN BANK</t>
  </si>
  <si>
    <t>STATE BANK OF INDIA</t>
  </si>
  <si>
    <t>CENTRAL BANK OF INDIA</t>
  </si>
  <si>
    <t>UNION BANK OF INDIA</t>
  </si>
  <si>
    <t>Bank Of India</t>
  </si>
  <si>
    <t>HDFC Bank</t>
  </si>
  <si>
    <t>AXIS BANK</t>
  </si>
  <si>
    <t>INDIAN BANK</t>
  </si>
  <si>
    <t>CANARA BANK</t>
  </si>
  <si>
    <t>BANK OF BARODA</t>
  </si>
  <si>
    <t>SVC CO-OP BANK LTD</t>
  </si>
  <si>
    <t xml:space="preserve">INDIA POST PAYMENT BANK </t>
  </si>
  <si>
    <t xml:space="preserve">STATE BANK OF INDIA </t>
  </si>
  <si>
    <t xml:space="preserve">MAHARASHTR GRAMIN BANK </t>
  </si>
  <si>
    <t xml:space="preserve">ICICI BANK </t>
  </si>
  <si>
    <t>THE HASTI CO-OP BANK LTD</t>
  </si>
  <si>
    <t>80056884498</t>
  </si>
  <si>
    <t>33226966020</t>
  </si>
  <si>
    <t>80016920060</t>
  </si>
  <si>
    <t>31904259684</t>
  </si>
  <si>
    <t>36000396801</t>
  </si>
  <si>
    <t>36080096916</t>
  </si>
  <si>
    <t>345902120013464</t>
  </si>
  <si>
    <t>80041484500</t>
  </si>
  <si>
    <t>80044312300</t>
  </si>
  <si>
    <t>5345959843</t>
  </si>
  <si>
    <t>33278372728</t>
  </si>
  <si>
    <t>7514561611</t>
  </si>
  <si>
    <t>25800100018223</t>
  </si>
  <si>
    <t>34139371341</t>
  </si>
  <si>
    <t>34597353306</t>
  </si>
  <si>
    <t>116403130014908</t>
  </si>
  <si>
    <t>80025530658</t>
  </si>
  <si>
    <t>5192249187</t>
  </si>
  <si>
    <t>5321385808</t>
  </si>
  <si>
    <t>345902120009856</t>
  </si>
  <si>
    <t>38953415375</t>
  </si>
  <si>
    <t>3953022178</t>
  </si>
  <si>
    <t>35949851524</t>
  </si>
  <si>
    <t>39615574594</t>
  </si>
  <si>
    <t>082718210000816</t>
  </si>
  <si>
    <t>50100534286289</t>
  </si>
  <si>
    <t>345902010081006</t>
  </si>
  <si>
    <t>3131045588</t>
  </si>
  <si>
    <t>80027414664</t>
  </si>
  <si>
    <t>50100597578784</t>
  </si>
  <si>
    <t>01701050085996</t>
  </si>
  <si>
    <t>032210257413</t>
  </si>
  <si>
    <t>033610141770</t>
  </si>
  <si>
    <t>049601512557</t>
  </si>
  <si>
    <t>31535660855</t>
  </si>
  <si>
    <t>3963256729</t>
  </si>
  <si>
    <t>80012710910</t>
  </si>
  <si>
    <t>021002100003057</t>
  </si>
  <si>
    <t>50100684211787</t>
  </si>
  <si>
    <t>MAHG0006001</t>
  </si>
  <si>
    <t>SBIN0003846</t>
  </si>
  <si>
    <t>CBIN0282048</t>
  </si>
  <si>
    <t>CBIN0282284</t>
  </si>
  <si>
    <t>SBIN0009335</t>
  </si>
  <si>
    <t>UBIN0534153</t>
  </si>
  <si>
    <t>UBIN0534595</t>
  </si>
  <si>
    <t>MAHG0005803</t>
  </si>
  <si>
    <t>CBIN0281914</t>
  </si>
  <si>
    <t>BKID0000694</t>
  </si>
  <si>
    <t>CBNI0282284</t>
  </si>
  <si>
    <t>SBIN0000435</t>
  </si>
  <si>
    <t>CBIN02820148</t>
  </si>
  <si>
    <t>SBIN0018284</t>
  </si>
  <si>
    <t>BKID0000807</t>
  </si>
  <si>
    <t>HDFC0000501</t>
  </si>
  <si>
    <t>SBIN0002151</t>
  </si>
  <si>
    <t>UTIB0000862</t>
  </si>
  <si>
    <t>IDIB000N182</t>
  </si>
  <si>
    <t>CNRB0005658</t>
  </si>
  <si>
    <t>UTIB0001872</t>
  </si>
  <si>
    <t>BARB0SSIPM</t>
  </si>
  <si>
    <t>SVCB0000164</t>
  </si>
  <si>
    <t>BKID0000827</t>
  </si>
  <si>
    <t>HDFC0001787</t>
  </si>
  <si>
    <t>CBIN0281674</t>
  </si>
  <si>
    <t>HDFC0003547</t>
  </si>
  <si>
    <t>HDFC0000170</t>
  </si>
  <si>
    <t>IPOS0000001</t>
  </si>
  <si>
    <t>ICIC0000496</t>
  </si>
  <si>
    <t>CBIN0281877</t>
  </si>
  <si>
    <t>HCBL0000121</t>
  </si>
  <si>
    <t>KAMATWADA</t>
  </si>
  <si>
    <t>VISPUDE</t>
  </si>
  <si>
    <t>PACHALE,</t>
  </si>
  <si>
    <t>DOMBI CHHADWEL KARDE SAKRI DHULE (MH)</t>
  </si>
  <si>
    <t>DOMBI CHHADWEL</t>
  </si>
  <si>
    <t>MAVJIPADA</t>
  </si>
  <si>
    <t>SUTARE</t>
  </si>
  <si>
    <t>AASTE NANDURBAR,Dist:Nandurbar,Maharashtra,42541</t>
  </si>
  <si>
    <t>ASATE</t>
  </si>
  <si>
    <t>TALWADE KHURD</t>
  </si>
  <si>
    <t>KHUDANE</t>
  </si>
  <si>
    <t>BAHIRAM CHAUK NIJAMPUR DHULE,Dist:Dhule,Maharashtra,424305</t>
  </si>
  <si>
    <t>NIJAMPUR</t>
  </si>
  <si>
    <t>VASKHEDI</t>
  </si>
  <si>
    <t>CHHADWEL KORDE</t>
  </si>
  <si>
    <t>INDAWE</t>
  </si>
  <si>
    <t>AKHADE,SAKRI,</t>
  </si>
  <si>
    <t>Ranale</t>
  </si>
  <si>
    <t>Kasare</t>
  </si>
  <si>
    <t>AT POST AMKHEL TAL SAKRI DHULR MAHARASHTRA</t>
  </si>
  <si>
    <t>TITANE</t>
  </si>
  <si>
    <t>KHORI</t>
  </si>
  <si>
    <t>NASHIK</t>
  </si>
  <si>
    <t>SWAMI VEVEKANAND CHAUK  DHULE (MH)</t>
  </si>
  <si>
    <t>AT POST CHADWEL KORDE SAKRI DHULE</t>
  </si>
  <si>
    <t>MU TALWADDE SHANIMANDAL</t>
  </si>
  <si>
    <t>AT UDHALOD  CHIRKAN SHAHDHA</t>
  </si>
  <si>
    <t>AT POST BRAMHNPURI TAL SHAHADHA</t>
  </si>
  <si>
    <t>AT POST CHHADWEL KORDE SAKRI DHULE</t>
  </si>
  <si>
    <t>AT POST TITANE SAKRI DHULE</t>
  </si>
  <si>
    <t>AT POST SINDHBAN SAKRI CHADWEL</t>
  </si>
  <si>
    <t>AT POST AICHALE SAKRI DHULE</t>
  </si>
  <si>
    <t>COGPB4286P</t>
  </si>
  <si>
    <t>JEKPM1633A</t>
  </si>
  <si>
    <t>FHJPR3298L</t>
  </si>
  <si>
    <t>NPEP561180</t>
  </si>
  <si>
    <t>BOLPB5194Q</t>
  </si>
  <si>
    <t>PSMPS5420P</t>
  </si>
  <si>
    <t>UEVPS9738L</t>
  </si>
  <si>
    <t>MKTPK7263G</t>
  </si>
  <si>
    <t>RPKPS9141E</t>
  </si>
  <si>
    <t>CLDPG7489R</t>
  </si>
  <si>
    <t>KAZPM0518L</t>
  </si>
  <si>
    <t>DGHPP5408M</t>
  </si>
  <si>
    <t>65571 7657940</t>
  </si>
  <si>
    <t>663428 250676</t>
  </si>
  <si>
    <t>4088033 42750</t>
  </si>
  <si>
    <t>665534 655538</t>
  </si>
  <si>
    <t>309695 441771</t>
  </si>
  <si>
    <t>929365 322709</t>
  </si>
  <si>
    <t>591479 468548</t>
  </si>
  <si>
    <t>501939 495006</t>
  </si>
  <si>
    <t>355538 267662</t>
  </si>
  <si>
    <t>402119 839358</t>
  </si>
  <si>
    <t>SBI CHHADWEL</t>
  </si>
  <si>
    <t>MAHARASTRA GRAMIN BANK</t>
  </si>
  <si>
    <t>BANK OF MAHARASTRA</t>
  </si>
  <si>
    <t>CENTRAL BANK BRAMHNPURI</t>
  </si>
  <si>
    <t>SBI BRAMAHANVEL</t>
  </si>
  <si>
    <t>CENTRAL BANK CHADWEL KORDE</t>
  </si>
  <si>
    <t>CENTRAL BANK JAITANE</t>
  </si>
  <si>
    <t xml:space="preserve">CENTRAL BANK JAITAE </t>
  </si>
  <si>
    <t>SBI NIZAMPUR</t>
  </si>
  <si>
    <t>MAHB0000780</t>
  </si>
  <si>
    <t>CBIN0281936</t>
  </si>
  <si>
    <t>MAHB0000366</t>
  </si>
  <si>
    <t>VIKAS BHARAT  BEDASE</t>
  </si>
  <si>
    <t>SBI</t>
  </si>
  <si>
    <t>SVBIN0003846</t>
  </si>
  <si>
    <t>EWHPM6728L</t>
  </si>
  <si>
    <t>12TH</t>
  </si>
  <si>
    <t>BI239</t>
  </si>
  <si>
    <t>BI240</t>
  </si>
  <si>
    <t>BI241</t>
  </si>
  <si>
    <t>BI242</t>
  </si>
  <si>
    <t>DAGAJI</t>
  </si>
  <si>
    <t>BRAMHNE</t>
  </si>
  <si>
    <t>29/08/1998</t>
  </si>
  <si>
    <t>21/11/2025</t>
  </si>
  <si>
    <t>BI178</t>
  </si>
  <si>
    <t>SIDDHANT</t>
  </si>
  <si>
    <t xml:space="preserve">JITENDRA </t>
  </si>
  <si>
    <t>1 MALE</t>
  </si>
  <si>
    <t>22/10/2006</t>
  </si>
  <si>
    <t>TITALI SHANIMANDAL</t>
  </si>
  <si>
    <t>80041603051</t>
  </si>
  <si>
    <t>SIDDHANAT JITENDRA PATIL</t>
  </si>
  <si>
    <t>IDPPB5776N</t>
  </si>
  <si>
    <t>19/07/1994</t>
  </si>
  <si>
    <t>HARSHAL KAILASH MORE</t>
  </si>
  <si>
    <t>BHATU DAGAJI BORSE</t>
  </si>
  <si>
    <t>HARSHAL RAMESH BRAMHNE</t>
  </si>
  <si>
    <t>AT POST KHORI</t>
  </si>
  <si>
    <t>17/05/2000</t>
  </si>
  <si>
    <t>GIOPB6233E</t>
  </si>
  <si>
    <t>BI243</t>
  </si>
  <si>
    <t>BI244</t>
  </si>
  <si>
    <t>BI245</t>
  </si>
  <si>
    <t>BI246</t>
  </si>
  <si>
    <t>BI247</t>
  </si>
  <si>
    <t xml:space="preserve">VIRAJ </t>
  </si>
  <si>
    <t>THAKAUR</t>
  </si>
  <si>
    <t xml:space="preserve">NARESH </t>
  </si>
  <si>
    <t>KAMALESH</t>
  </si>
  <si>
    <t>KHADERAO</t>
  </si>
  <si>
    <t>PATAHAN</t>
  </si>
  <si>
    <t>NANDRE</t>
  </si>
  <si>
    <t>GANGADHAR</t>
  </si>
  <si>
    <t>ARSHADKHA</t>
  </si>
  <si>
    <t>ARIFKHA</t>
  </si>
  <si>
    <t>24/4/2006</t>
  </si>
  <si>
    <t>dilip</t>
  </si>
  <si>
    <t>08.06.205</t>
  </si>
  <si>
    <t xml:space="preserve"> </t>
  </si>
  <si>
    <t>10/121988</t>
  </si>
  <si>
    <t>BI248</t>
  </si>
  <si>
    <t>BI249</t>
  </si>
  <si>
    <t>BI250</t>
  </si>
  <si>
    <t>BI252</t>
  </si>
  <si>
    <t>BI253</t>
  </si>
  <si>
    <t xml:space="preserve"> VIRAJ SANJAY THAKUR    </t>
  </si>
  <si>
    <t xml:space="preserve"> NARESH SHARAD THAKARE  </t>
  </si>
  <si>
    <t xml:space="preserve"> KAMLESH GANGADHAR KHAND</t>
  </si>
  <si>
    <t xml:space="preserve"> ARSHAADKHA ARIFKHA PATH</t>
  </si>
  <si>
    <t xml:space="preserve"> PRUTHVIRAJ CHAVHAN     </t>
  </si>
  <si>
    <t xml:space="preserve"> SAGAR MAHENDRA NANDRE  </t>
  </si>
  <si>
    <t xml:space="preserve"> BHUSHAN RAVINDRA PATIL </t>
  </si>
  <si>
    <t xml:space="preserve"> MAYUR PREMRAJ PATIL    </t>
  </si>
  <si>
    <t xml:space="preserve"> NILESH PRAKASH AHIRE   </t>
  </si>
  <si>
    <t xml:space="preserve"> PRAVIN HIMAT KHAIRNAR  </t>
  </si>
  <si>
    <t>KHUSHAL ISHWAR WAGH</t>
  </si>
  <si>
    <t>PRUTHVIRAJ</t>
  </si>
  <si>
    <t>MAYUR</t>
  </si>
  <si>
    <t>KHUSHAL</t>
  </si>
  <si>
    <t>BAJIRAO</t>
  </si>
  <si>
    <t>MAHENDRA</t>
  </si>
  <si>
    <t>PREMRAJ</t>
  </si>
  <si>
    <t>HIMAT</t>
  </si>
  <si>
    <t>BI254</t>
  </si>
  <si>
    <t>BI255</t>
  </si>
  <si>
    <t>BI256</t>
  </si>
  <si>
    <t>BI257</t>
  </si>
  <si>
    <t>BI259</t>
  </si>
  <si>
    <t>BI260</t>
  </si>
  <si>
    <t>BI261</t>
  </si>
  <si>
    <t>BI262</t>
  </si>
  <si>
    <t>BI265</t>
  </si>
  <si>
    <t>BI266</t>
  </si>
  <si>
    <t>BI267</t>
  </si>
  <si>
    <t>BI268</t>
  </si>
  <si>
    <t>BI269</t>
  </si>
  <si>
    <t>BI270</t>
  </si>
  <si>
    <t>BI271</t>
  </si>
  <si>
    <t>BI272</t>
  </si>
  <si>
    <t>BI273</t>
  </si>
  <si>
    <t>BI274</t>
  </si>
  <si>
    <t xml:space="preserve">  </t>
  </si>
  <si>
    <t>BI275</t>
  </si>
  <si>
    <t>BI276</t>
  </si>
  <si>
    <t>BI277</t>
  </si>
  <si>
    <t>BI278</t>
  </si>
  <si>
    <t>BI279</t>
  </si>
  <si>
    <t>BI280</t>
  </si>
  <si>
    <t>BI281</t>
  </si>
  <si>
    <t>BI282</t>
  </si>
  <si>
    <t>BI283</t>
  </si>
  <si>
    <t>BI284</t>
  </si>
  <si>
    <t>BI285</t>
  </si>
  <si>
    <t>BI286</t>
  </si>
  <si>
    <t>BI287</t>
  </si>
  <si>
    <t>BI288</t>
  </si>
  <si>
    <t xml:space="preserve">ANANDA RAGHUNATH WAGH    </t>
  </si>
  <si>
    <t xml:space="preserve">HARISH KAILAS SONAVANE   </t>
  </si>
  <si>
    <t xml:space="preserve">SANDIP GOKUL PIMPALE     </t>
  </si>
  <si>
    <t>DONGARSING AMBARSING JAGT</t>
  </si>
  <si>
    <t xml:space="preserve">SHYAM ANANDA PATIL       </t>
  </si>
  <si>
    <t>NILESH DNYANESHWAR MARATH</t>
  </si>
  <si>
    <t xml:space="preserve">HEMANT KISHOR BORSE      </t>
  </si>
  <si>
    <t xml:space="preserve">GOKUL RAJENDRA PATIL     </t>
  </si>
  <si>
    <t>MOHIT BHALCHANDRA SONAWAN</t>
  </si>
  <si>
    <t xml:space="preserve">SARICHAND LOTAN RATHOD   </t>
  </si>
  <si>
    <t xml:space="preserve">SAGAR KHUSHAL GAVALE     </t>
  </si>
  <si>
    <t xml:space="preserve">RAHUL MIRULAL DESHMUKH   </t>
  </si>
  <si>
    <t xml:space="preserve">RAHUL BHATU PAWAR        </t>
  </si>
  <si>
    <t xml:space="preserve">YOGESH DADAJI BAGALE     </t>
  </si>
  <si>
    <t xml:space="preserve">HEMANT RAVINDRA RATHOD   </t>
  </si>
  <si>
    <t xml:space="preserve">KUNAL SITARAM GAVIT      </t>
  </si>
  <si>
    <t xml:space="preserve">MANISH SUBHASH BAGUL     </t>
  </si>
  <si>
    <t xml:space="preserve">RAKESH KRUSHNA PATIL     </t>
  </si>
  <si>
    <t xml:space="preserve">SACHIN RAJENDRA THAKARE  </t>
  </si>
  <si>
    <t xml:space="preserve">KHANDU SUKDEV MALI       </t>
  </si>
  <si>
    <t xml:space="preserve">RUSHIKESH PRAVIN THAKARE </t>
  </si>
  <si>
    <t xml:space="preserve">AVINASH SARDAR CHAURE    </t>
  </si>
  <si>
    <t xml:space="preserve">LAKSHAM JITU BIRADE      </t>
  </si>
  <si>
    <t xml:space="preserve">SACHIN VASANT PATIL      </t>
  </si>
  <si>
    <t xml:space="preserve">VISHAL GULAB GIRASE      </t>
  </si>
  <si>
    <t xml:space="preserve">RIHIDAS BHAIDAS BHIL     </t>
  </si>
  <si>
    <t xml:space="preserve">SUNIL UTTAM PAWAR        </t>
  </si>
  <si>
    <t xml:space="preserve">KARAN ARJUN THAKARE      </t>
  </si>
  <si>
    <t xml:space="preserve">PRAVIN CHOTU BHADANE     </t>
  </si>
  <si>
    <t xml:space="preserve">SANDIP BABULAL AHIRE     </t>
  </si>
  <si>
    <t xml:space="preserve">VARSHA GAUTAM MORE       </t>
  </si>
  <si>
    <t>BI152</t>
  </si>
  <si>
    <t>29/10/2005</t>
  </si>
  <si>
    <t>BRAMHANWEL 424305</t>
  </si>
  <si>
    <t>HARISH</t>
  </si>
  <si>
    <t>SANDIP</t>
  </si>
  <si>
    <t>DONGARSING</t>
  </si>
  <si>
    <t>SHYAM</t>
  </si>
  <si>
    <t>RAGHUNATH</t>
  </si>
  <si>
    <t>DNYANESHWAR</t>
  </si>
  <si>
    <t>BHALCHANDRA</t>
  </si>
  <si>
    <t>MIRULAL</t>
  </si>
  <si>
    <t>DESHMUKH</t>
  </si>
  <si>
    <t>MANISH</t>
  </si>
  <si>
    <t>RAKESH</t>
  </si>
  <si>
    <t>LAKSHAM</t>
  </si>
  <si>
    <t>VISHAL</t>
  </si>
  <si>
    <t>SUNIL</t>
  </si>
  <si>
    <t>VARSHA</t>
  </si>
  <si>
    <t>KRUSHNA</t>
  </si>
  <si>
    <t>JITU</t>
  </si>
  <si>
    <t>ARJUN</t>
  </si>
  <si>
    <t>CHOTU</t>
  </si>
  <si>
    <t>BIRADE</t>
  </si>
  <si>
    <t>BHIL</t>
  </si>
  <si>
    <t>102325 770131</t>
  </si>
  <si>
    <t>SUKHDEV</t>
  </si>
  <si>
    <t xml:space="preserve">RUSHIKESH </t>
  </si>
  <si>
    <t xml:space="preserve">PRAVIN </t>
  </si>
  <si>
    <t>ROHIDAS</t>
  </si>
  <si>
    <t xml:space="preserve">GOUTAM </t>
  </si>
  <si>
    <t>PIMPLE</t>
  </si>
  <si>
    <t>AMABARSING</t>
  </si>
  <si>
    <t>MARATHE</t>
  </si>
  <si>
    <t xml:space="preserve">MOHIT </t>
  </si>
  <si>
    <t>SARICHANDRA</t>
  </si>
  <si>
    <t>BAGALE</t>
  </si>
  <si>
    <t>SITARAM</t>
  </si>
  <si>
    <t>JYOTIBA</t>
  </si>
  <si>
    <t>BHIKAN</t>
  </si>
  <si>
    <t>16/10/1996</t>
  </si>
  <si>
    <t>25/09/1996</t>
  </si>
  <si>
    <t>18/06/2005</t>
  </si>
  <si>
    <t>13/03/2002</t>
  </si>
  <si>
    <t>14/08/2006</t>
  </si>
  <si>
    <t>20/07/2001</t>
  </si>
  <si>
    <t>15/08/1995</t>
  </si>
  <si>
    <t>BI289</t>
  </si>
  <si>
    <t>BI290</t>
  </si>
  <si>
    <t>BI291</t>
  </si>
  <si>
    <t>BI292</t>
  </si>
  <si>
    <t>BI293</t>
  </si>
  <si>
    <t>BI294</t>
  </si>
  <si>
    <t>BI295</t>
  </si>
  <si>
    <t>BI296</t>
  </si>
  <si>
    <t>BI297</t>
  </si>
  <si>
    <t>BI298</t>
  </si>
  <si>
    <t>BAZPT3488H</t>
  </si>
  <si>
    <t>MARRIED</t>
  </si>
  <si>
    <t>468/469 NEAR JPN HOSPITAL , PARDESHI PURA NANDURBAR 425412</t>
  </si>
  <si>
    <t xml:space="preserve">VTC TITANE DHULE MAHARASHTRA </t>
  </si>
  <si>
    <t>CHHADWEL KORDE SAKRI DHULE 424305</t>
  </si>
  <si>
    <t>AMKHEL SUB DIS SAKRI DIS DHULE 424305</t>
  </si>
  <si>
    <t>MU BHORTEK DHULE MAHARASHTRA 425421</t>
  </si>
  <si>
    <t>AT POST VITHAI, DHULE VETHAI, MAHARASHTRA 424310</t>
  </si>
  <si>
    <t>KORAD, CHADVEL SKARI DHULE MAHARASHTRA 424305</t>
  </si>
  <si>
    <t>JAITANE ,DHULE MAHARASHTRA 424305</t>
  </si>
  <si>
    <t>CHHADWEL KORAD DHULE MAHARASHTRA</t>
  </si>
  <si>
    <t>AT POST PACHALE, CHADVEL,DHULE MAHARASHTRA 424305</t>
  </si>
  <si>
    <t>Shanimandal Tal Nandurbar MAHARASHTRA 425408</t>
  </si>
  <si>
    <t xml:space="preserve">AT POST SHANIMANDAL </t>
  </si>
  <si>
    <t>MU. PATELE POST CHADWEL KORAD , SAKRI,DHULE MAHARASHTRA 424305</t>
  </si>
  <si>
    <t>KHUDANE DHULE MAHARASHTRA 424305</t>
  </si>
  <si>
    <t>AT AJEPUR STRARE DIS NANDURBAR MAHARASHTRA 425412</t>
  </si>
  <si>
    <t>KUTTARMARE DHULE MAHARASHTRA 424305</t>
  </si>
  <si>
    <t>AT POST DAHIVEL TAL SAKRI DAHIWEL DHULE MAHARASHTRA 424304</t>
  </si>
  <si>
    <t>INDRAPAST NAGAR NEW WATER TANKA SAKRI DHULE MAHARASHTRA 424304</t>
  </si>
  <si>
    <t>AT POST BHILWAD, STATANA, NASHIK 423302</t>
  </si>
  <si>
    <t>SHINDE SHAHADA</t>
  </si>
  <si>
    <t>14.08.2001</t>
  </si>
  <si>
    <t>21.11.2006</t>
  </si>
  <si>
    <t>17.04.2005</t>
  </si>
  <si>
    <t>24.02.1992</t>
  </si>
  <si>
    <t>13.05.1992</t>
  </si>
  <si>
    <t>12.05.2007</t>
  </si>
  <si>
    <t>26.05.1996</t>
  </si>
  <si>
    <t>16.05.1996</t>
  </si>
  <si>
    <t>17.12.1988</t>
  </si>
  <si>
    <t>01.01.1990</t>
  </si>
  <si>
    <t>19.05.2006</t>
  </si>
  <si>
    <t>15.03.1997</t>
  </si>
  <si>
    <t>24.10.2005</t>
  </si>
  <si>
    <t>09.07.1994</t>
  </si>
  <si>
    <t>11.08.1991</t>
  </si>
  <si>
    <t>10.07.2005</t>
  </si>
  <si>
    <t>12.12.2001</t>
  </si>
  <si>
    <t>31.08.2005</t>
  </si>
  <si>
    <t>27.03.2004</t>
  </si>
  <si>
    <t> 07.04.2009</t>
  </si>
  <si>
    <t>14.07.2000</t>
  </si>
  <si>
    <t>19.09.2001</t>
  </si>
  <si>
    <t>06.11.1993</t>
  </si>
  <si>
    <t>26.11.2002</t>
  </si>
  <si>
    <t>03.10.2005</t>
  </si>
  <si>
    <t>01.01.1989</t>
  </si>
  <si>
    <t>18.02.2007</t>
  </si>
  <si>
    <t>31.03.2026</t>
  </si>
  <si>
    <t>29.03.2026</t>
  </si>
  <si>
    <t>30.03.2026</t>
  </si>
  <si>
    <t>02.03.2026</t>
  </si>
  <si>
    <t>03.04.2026</t>
  </si>
  <si>
    <t>01.04.2026</t>
  </si>
  <si>
    <t>23.11.2025</t>
  </si>
  <si>
    <t>02.12.2025</t>
  </si>
  <si>
    <t>08.12.2025</t>
  </si>
  <si>
    <t>10.12.2025</t>
  </si>
  <si>
    <t>032210291112</t>
  </si>
  <si>
    <t>032210253846</t>
  </si>
  <si>
    <t>SBIN000435</t>
  </si>
  <si>
    <t>SBIN0004335</t>
  </si>
  <si>
    <t>SBIN0010948</t>
  </si>
  <si>
    <t>HDFC0002809</t>
  </si>
  <si>
    <t>SBIN0002174</t>
  </si>
  <si>
    <t> BARB0DBTAHA</t>
  </si>
  <si>
    <t>102276138763</t>
  </si>
  <si>
    <t>102282512291</t>
  </si>
  <si>
    <t>102282522322</t>
  </si>
  <si>
    <t>101334846638</t>
  </si>
  <si>
    <t>100600826733</t>
  </si>
  <si>
    <t>102308313204</t>
  </si>
  <si>
    <t>101502001153</t>
  </si>
  <si>
    <t>101984868585</t>
  </si>
  <si>
    <t>101043810403</t>
  </si>
  <si>
    <t>101898661141</t>
  </si>
  <si>
    <t>102135670531</t>
  </si>
  <si>
    <t>102308076952</t>
  </si>
  <si>
    <t>102308324744</t>
  </si>
  <si>
    <t>100698678518</t>
  </si>
  <si>
    <t>100600660837</t>
  </si>
  <si>
    <t>102171329138</t>
  </si>
  <si>
    <t>101998648275</t>
  </si>
  <si>
    <t>102314844742</t>
  </si>
  <si>
    <t>102314852596</t>
  </si>
  <si>
    <t>102239921979</t>
  </si>
  <si>
    <t>102064995146</t>
  </si>
  <si>
    <t>101787410058</t>
  </si>
  <si>
    <t>101466237872</t>
  </si>
  <si>
    <t>102155758412</t>
  </si>
  <si>
    <t>101005541271</t>
  </si>
  <si>
    <t>102244668894</t>
  </si>
  <si>
    <t>KUTTARMARE</t>
  </si>
  <si>
    <t>BRAMHANWEL</t>
  </si>
  <si>
    <t>VITHAI</t>
  </si>
  <si>
    <t>PETLE</t>
  </si>
  <si>
    <t>AJEPUR</t>
  </si>
  <si>
    <t>DHAIWEL</t>
  </si>
  <si>
    <t>SAKRI</t>
  </si>
  <si>
    <t>BHILAWAD</t>
  </si>
  <si>
    <t>21.02.2026</t>
  </si>
  <si>
    <t>KALPESH DIPK THAKARE</t>
  </si>
  <si>
    <t>SURAJ</t>
  </si>
  <si>
    <t>DILKHUSH</t>
  </si>
  <si>
    <t>AATMARAM</t>
  </si>
  <si>
    <t>AANNA</t>
  </si>
  <si>
    <t xml:space="preserve">KRUSHNA </t>
  </si>
  <si>
    <t>VANILAL</t>
  </si>
  <si>
    <t>HIMMAT</t>
  </si>
  <si>
    <t>DEVILAL</t>
  </si>
  <si>
    <t>CHAUDHARI</t>
  </si>
  <si>
    <t>ANKUSH</t>
  </si>
  <si>
    <t>BHADHANE</t>
  </si>
  <si>
    <t>NIKHIL</t>
  </si>
  <si>
    <t>SATISH</t>
  </si>
  <si>
    <t>01.01.2002</t>
  </si>
  <si>
    <t>13.05.2026</t>
  </si>
  <si>
    <t xml:space="preserve">SHANIMANDAL </t>
  </si>
  <si>
    <t>22.05.2026</t>
  </si>
  <si>
    <t>SURAJ DILKHUSH PAWAR</t>
  </si>
  <si>
    <t>13/04/2004</t>
  </si>
  <si>
    <t>INDRIHATTI</t>
  </si>
  <si>
    <t>5961891281</t>
  </si>
  <si>
    <t>JYOTIBA BHIKAN BHIL</t>
  </si>
  <si>
    <t>25/04/2026</t>
  </si>
  <si>
    <t>28/04/2026</t>
  </si>
  <si>
    <t>14/12/2025</t>
  </si>
  <si>
    <t>18/12/2025</t>
  </si>
  <si>
    <t>22/12/2025</t>
  </si>
  <si>
    <t>14/01/2026</t>
  </si>
  <si>
    <t>18/01/2026</t>
  </si>
  <si>
    <t>24/12/2025</t>
  </si>
  <si>
    <t>20/01/2026</t>
  </si>
  <si>
    <t>14/12/1995</t>
  </si>
  <si>
    <t>UNMARRIED</t>
  </si>
  <si>
    <t>PRAKASH AATAMARAM VENDAIT</t>
  </si>
  <si>
    <t>SAGAR AANNA KHAIRNAR</t>
  </si>
  <si>
    <t>LAKSHAM NAMDEV JADHAV</t>
  </si>
  <si>
    <t>KRUSHNA VANILAL PAWAR</t>
  </si>
  <si>
    <t>GOKUL HIMMANT BEDSE</t>
  </si>
  <si>
    <t>DEVILAL RAVINDRA CHAUDHARI</t>
  </si>
  <si>
    <t>ANKUSH KARBHARI THAKARE</t>
  </si>
  <si>
    <t>NITIN SANJAY BHADHANE</t>
  </si>
  <si>
    <t>NIKHIL SATISH SHINDE</t>
  </si>
  <si>
    <t xml:space="preserve">BTECH ME </t>
  </si>
  <si>
    <t>B TECH</t>
  </si>
  <si>
    <t>DIPLOMA QUALITY</t>
  </si>
  <si>
    <t>15/01/2002</t>
  </si>
  <si>
    <t>20/04/1984</t>
  </si>
  <si>
    <t>20/11/1997</t>
  </si>
  <si>
    <t>CGCPC808M</t>
  </si>
  <si>
    <t>AT MOGARPADA</t>
  </si>
  <si>
    <t>PINJRAJHADI</t>
  </si>
  <si>
    <t>SBI BRAMHANWEL</t>
  </si>
  <si>
    <t>FUGPB2948F</t>
  </si>
  <si>
    <t>VIKHRAN KURDE</t>
  </si>
  <si>
    <t>CENTRAL BANK</t>
  </si>
  <si>
    <t>CBIN0281980</t>
  </si>
  <si>
    <t>GRSPB6812G</t>
  </si>
  <si>
    <t>PRHPS9931M</t>
  </si>
  <si>
    <t>ALWPT4535A</t>
  </si>
  <si>
    <t xml:space="preserve">AT POST CHHAIL TAL SAKRI </t>
  </si>
  <si>
    <t xml:space="preserve"> CHHAIL TAL SAKRI </t>
  </si>
  <si>
    <t>GNUPP6864A</t>
  </si>
  <si>
    <t>PHPPK4085J</t>
  </si>
  <si>
    <t>BI299</t>
  </si>
  <si>
    <t>BI300</t>
  </si>
  <si>
    <t>BI301</t>
  </si>
  <si>
    <t>BI302</t>
  </si>
  <si>
    <t>BI303</t>
  </si>
  <si>
    <t>VAIBHAV ARUN PATIL</t>
  </si>
  <si>
    <t>TEJAS GAJMAL GANGURDE</t>
  </si>
  <si>
    <t>DNYANESHWAR SUKHADEV CHAURE</t>
  </si>
  <si>
    <t>PRAVIN DAMU NAIK</t>
  </si>
  <si>
    <t>DINISH KISHOR PAWAR</t>
  </si>
  <si>
    <t>SANDIP MURALIDHAR ADAGALE</t>
  </si>
  <si>
    <t>UMESH ABHIMANYU PAWAR</t>
  </si>
  <si>
    <t>DIPAK GULAB PAWAR</t>
  </si>
  <si>
    <t>KAMLESH ARUN PIMPLE</t>
  </si>
  <si>
    <t>TUSHAR SUBHAH AHIRE</t>
  </si>
  <si>
    <t>ROHIT CHATUR PATIL</t>
  </si>
  <si>
    <t>SUNIL SURESH GAWALI</t>
  </si>
  <si>
    <t xml:space="preserve">ARJUN RAJU BHIL </t>
  </si>
  <si>
    <t>RAHUL BHATU SHWALE</t>
  </si>
  <si>
    <t>RAHUL ASHOK DESHMUKH</t>
  </si>
  <si>
    <t>KUSHAL PRALHAD MALI</t>
  </si>
  <si>
    <t>VISHNU CHOTU SONAWANE</t>
  </si>
  <si>
    <t>HEMANT KAILAS MALI</t>
  </si>
  <si>
    <t>KISHOR KRUSHNARAO BORSE</t>
  </si>
  <si>
    <t>DADBHAI MORSING BHIL</t>
  </si>
  <si>
    <t>BI304</t>
  </si>
  <si>
    <t>BI305</t>
  </si>
  <si>
    <t>BI306</t>
  </si>
  <si>
    <t>BI307</t>
  </si>
  <si>
    <t>BI308</t>
  </si>
  <si>
    <t>BI309</t>
  </si>
  <si>
    <t>BI310</t>
  </si>
  <si>
    <t>BI311</t>
  </si>
  <si>
    <t>BI312</t>
  </si>
  <si>
    <t>BI313</t>
  </si>
  <si>
    <t>BI314</t>
  </si>
  <si>
    <t>BI315</t>
  </si>
  <si>
    <t>BI317</t>
  </si>
  <si>
    <t>BI318</t>
  </si>
  <si>
    <t>BI319</t>
  </si>
  <si>
    <t>27.05.2026</t>
  </si>
  <si>
    <t>07.06.2026</t>
  </si>
  <si>
    <t>11.06.2026</t>
  </si>
  <si>
    <t>Surname (आडनाव)</t>
  </si>
  <si>
    <t>First Name (पहिले नाव)</t>
  </si>
  <si>
    <t>Middle Name (वडिलांचे नाव)</t>
  </si>
  <si>
    <t>VAIBHAV</t>
  </si>
  <si>
    <t>ARUN</t>
  </si>
  <si>
    <t>GAJMAL</t>
  </si>
  <si>
    <t>SUKHADEV</t>
  </si>
  <si>
    <t>NAIK</t>
  </si>
  <si>
    <t>DAMU</t>
  </si>
  <si>
    <t>DINISH</t>
  </si>
  <si>
    <t>ADAGALE</t>
  </si>
  <si>
    <t>MURALIDHAR</t>
  </si>
  <si>
    <t>ABHIMANYU</t>
  </si>
  <si>
    <t>KAMLESH</t>
  </si>
  <si>
    <t>TUSHAR</t>
  </si>
  <si>
    <t>SUBHAH</t>
  </si>
  <si>
    <t>GAWALI</t>
  </si>
  <si>
    <t>SURESH</t>
  </si>
  <si>
    <t>RAJU</t>
  </si>
  <si>
    <t>SHWALE</t>
  </si>
  <si>
    <t>KUSHAL</t>
  </si>
  <si>
    <t>VISHNU</t>
  </si>
  <si>
    <t>KRUSHNARAO</t>
  </si>
  <si>
    <t>DADBHAI</t>
  </si>
  <si>
    <t>MORSING</t>
  </si>
  <si>
    <t>EORPP3504M</t>
  </si>
  <si>
    <t>EWJPM7221L</t>
  </si>
  <si>
    <t>MALPUR</t>
  </si>
  <si>
    <t>MALPUR SHINDHKHEDA DHULE</t>
  </si>
  <si>
    <t>UBIN0916579</t>
  </si>
  <si>
    <t>CQQPT6707F</t>
  </si>
  <si>
    <t>CIMPC4522R</t>
  </si>
  <si>
    <t>THANEPADA</t>
  </si>
  <si>
    <t>HDFC000064</t>
  </si>
  <si>
    <t>IWTPB1630Q</t>
  </si>
  <si>
    <t>INDIAN POST PAYMENT BANK</t>
  </si>
  <si>
    <t>O32210270114</t>
  </si>
  <si>
    <t>FVJPP6760D</t>
  </si>
  <si>
    <t xml:space="preserve">AT POST BHONGAON </t>
  </si>
  <si>
    <t>BHONGAON</t>
  </si>
  <si>
    <t>HDFC0004128</t>
  </si>
  <si>
    <t>ICDPR4269B</t>
  </si>
  <si>
    <t>ETVPB5391D</t>
  </si>
  <si>
    <t>CAQPP5892M</t>
  </si>
  <si>
    <t>SINBAN</t>
  </si>
  <si>
    <t>SBIN00003846</t>
  </si>
  <si>
    <t>CNRPT4230R</t>
  </si>
  <si>
    <t>AT INDRIHATTI POST SHANIMANDAL</t>
  </si>
  <si>
    <t xml:space="preserve">JAITANE </t>
  </si>
  <si>
    <t>JAITANE</t>
  </si>
  <si>
    <t>SBIN003846</t>
  </si>
  <si>
    <t>EXRPB7684H</t>
  </si>
  <si>
    <t>ECUPA3643D</t>
  </si>
  <si>
    <t xml:space="preserve">NANDURBAR </t>
  </si>
  <si>
    <t>CKOPT5616B</t>
  </si>
  <si>
    <t>CHFPT6775D</t>
  </si>
  <si>
    <t>MAHB0RRBMGB</t>
  </si>
  <si>
    <t>ASIPV3342A</t>
  </si>
  <si>
    <t>ASMPJ5618F</t>
  </si>
  <si>
    <t>JCPPB7557H</t>
  </si>
  <si>
    <t>HFNPP2901E</t>
  </si>
  <si>
    <t>25.11.2004</t>
  </si>
  <si>
    <t>02.07.2004</t>
  </si>
  <si>
    <t>EQNPG3136</t>
  </si>
  <si>
    <t>25.07.2008</t>
  </si>
  <si>
    <t>BHILAWAD SATANA</t>
  </si>
  <si>
    <t>SATANA</t>
  </si>
  <si>
    <t>AIRTEL PAYMENT BANK</t>
  </si>
  <si>
    <t>AIRP0000001</t>
  </si>
  <si>
    <t>12.11.2003</t>
  </si>
  <si>
    <t>COEPN6124C</t>
  </si>
  <si>
    <t>DOMKANI</t>
  </si>
  <si>
    <t>PO KUDANE</t>
  </si>
  <si>
    <t>MAHB0000105</t>
  </si>
  <si>
    <t>20.01.2008</t>
  </si>
  <si>
    <t>HQAPP9188P</t>
  </si>
  <si>
    <t>17.10.2003</t>
  </si>
  <si>
    <t>12.04.1993</t>
  </si>
  <si>
    <t>ENVPA1848E</t>
  </si>
  <si>
    <t>AICHALE</t>
  </si>
  <si>
    <t>05.07.2002</t>
  </si>
  <si>
    <t>15.07.2002</t>
  </si>
  <si>
    <t>ICQPP7336L</t>
  </si>
  <si>
    <t>17.12.1997</t>
  </si>
  <si>
    <t>DYKPP5529J</t>
  </si>
  <si>
    <t>20.02.2006</t>
  </si>
  <si>
    <t>FSPP4035M</t>
  </si>
  <si>
    <t>NIZAMPUR</t>
  </si>
  <si>
    <t>07.09.2005</t>
  </si>
  <si>
    <t>HVPPP7342D</t>
  </si>
  <si>
    <t>05.05.1994</t>
  </si>
  <si>
    <t>EIZPG5122E</t>
  </si>
  <si>
    <t>AT POST DUKARIPADA POST DANER</t>
  </si>
  <si>
    <t>DUKARIPADA</t>
  </si>
  <si>
    <t>CBIN02816877</t>
  </si>
  <si>
    <t>15.10.2002</t>
  </si>
  <si>
    <t>18.09.1993</t>
  </si>
  <si>
    <t>KDNPS4556P</t>
  </si>
  <si>
    <t>AT POST DEVAJIPAD</t>
  </si>
  <si>
    <t>DEVAJIPADA</t>
  </si>
  <si>
    <t>14.07.1997</t>
  </si>
  <si>
    <t>FECPD1317E</t>
  </si>
  <si>
    <t>AT POST JAITANE</t>
  </si>
  <si>
    <t>05.10.2003</t>
  </si>
  <si>
    <t>HQIPM2830M</t>
  </si>
  <si>
    <t>IBUPM1987F</t>
  </si>
  <si>
    <t>TLUPS3600E</t>
  </si>
  <si>
    <t>CHHAIL SAKRI</t>
  </si>
  <si>
    <t>CHHAIL</t>
  </si>
  <si>
    <t>BARB0DBSAKR</t>
  </si>
  <si>
    <t>LEFT</t>
  </si>
  <si>
    <t>508336697932</t>
  </si>
  <si>
    <t>568420429299</t>
  </si>
  <si>
    <t>643387724054</t>
  </si>
  <si>
    <t>IKYPB4741M</t>
  </si>
  <si>
    <t>94490100027275</t>
  </si>
  <si>
    <t>591290307751</t>
  </si>
  <si>
    <t>843548812804</t>
  </si>
  <si>
    <t>590261623144</t>
  </si>
  <si>
    <t>101996244380</t>
  </si>
  <si>
    <t>580308414839</t>
  </si>
  <si>
    <t>415860348794</t>
  </si>
  <si>
    <t>663210386760</t>
  </si>
  <si>
    <t>331704517777</t>
  </si>
  <si>
    <t>259464136032</t>
  </si>
  <si>
    <t>832327731164</t>
  </si>
  <si>
    <t>237941165010</t>
  </si>
  <si>
    <t>253747341067</t>
  </si>
  <si>
    <t>353688888858</t>
  </si>
  <si>
    <t>911871832036</t>
  </si>
  <si>
    <t>455760370524</t>
  </si>
  <si>
    <t>534816893214</t>
  </si>
  <si>
    <t>748423328486</t>
  </si>
  <si>
    <t>BI320</t>
  </si>
  <si>
    <t>BAL00315</t>
  </si>
  <si>
    <t xml:space="preserve">GAURAV </t>
  </si>
  <si>
    <t>LALCHAND</t>
  </si>
  <si>
    <t xml:space="preserve">NANDU </t>
  </si>
  <si>
    <t>SHAMRAO</t>
  </si>
  <si>
    <t>BAL00316</t>
  </si>
  <si>
    <t xml:space="preserve">KISHOR SANJAY PATIL      </t>
  </si>
  <si>
    <t>BAL00317</t>
  </si>
  <si>
    <t xml:space="preserve">DNYANESHWAR B. PENDARE   </t>
  </si>
  <si>
    <t>BAL00319</t>
  </si>
  <si>
    <t xml:space="preserve">MANRAJ KHANDU ISHI       </t>
  </si>
  <si>
    <t>BAL00320</t>
  </si>
  <si>
    <t>DNYANNESHWAR ANIL SURYAVANSHI</t>
  </si>
  <si>
    <t>BAL00321</t>
  </si>
  <si>
    <t xml:space="preserve">JAYESH KANHYALAL DHANGAR </t>
  </si>
  <si>
    <t>BAL00322</t>
  </si>
  <si>
    <t xml:space="preserve">RAHUL JIBAU KAPSE        </t>
  </si>
  <si>
    <t>BAL00324</t>
  </si>
  <si>
    <t xml:space="preserve">PRATIK VEDUSING RAJPUT   </t>
  </si>
  <si>
    <t>BAL00325</t>
  </si>
  <si>
    <t xml:space="preserve">KUNAL DHANRAUJ SALUNKHE  </t>
  </si>
  <si>
    <t>BAL00326</t>
  </si>
  <si>
    <t xml:space="preserve">RAHUL CHABILAL MORE      </t>
  </si>
  <si>
    <t>BAL00328</t>
  </si>
  <si>
    <t xml:space="preserve">VIPUL NAGSEN PAWAR       </t>
  </si>
  <si>
    <t>101368520855</t>
  </si>
  <si>
    <t>102354551199</t>
  </si>
  <si>
    <t>102354601610</t>
  </si>
  <si>
    <t>101993089460</t>
  </si>
  <si>
    <t>102359231792</t>
  </si>
  <si>
    <t>102030606824</t>
  </si>
  <si>
    <t>102175510689</t>
  </si>
  <si>
    <t>25268100710</t>
  </si>
  <si>
    <t>259371141754</t>
  </si>
  <si>
    <t xml:space="preserve">KISHOR      </t>
  </si>
  <si>
    <t xml:space="preserve"> PATIL </t>
  </si>
  <si>
    <t xml:space="preserve">PENDARE   </t>
  </si>
  <si>
    <t>BARAKU</t>
  </si>
  <si>
    <t xml:space="preserve">MANRAJ   </t>
  </si>
  <si>
    <t xml:space="preserve"> KHANDU    </t>
  </si>
  <si>
    <t xml:space="preserve">ISHI </t>
  </si>
  <si>
    <t xml:space="preserve">DNYANNESHWAR </t>
  </si>
  <si>
    <t xml:space="preserve">ANIL </t>
  </si>
  <si>
    <t xml:space="preserve"> KANHYALAL  </t>
  </si>
  <si>
    <t>DHANGAR</t>
  </si>
  <si>
    <t xml:space="preserve">RAHUL        </t>
  </si>
  <si>
    <t xml:space="preserve"> JIBAU</t>
  </si>
  <si>
    <t xml:space="preserve"> KAPSE</t>
  </si>
  <si>
    <t xml:space="preserve">PRATIK </t>
  </si>
  <si>
    <t xml:space="preserve">VEDUSING    </t>
  </si>
  <si>
    <t xml:space="preserve">KUNAL   </t>
  </si>
  <si>
    <t xml:space="preserve">DHANRAUJ </t>
  </si>
  <si>
    <t>SALUNKHE</t>
  </si>
  <si>
    <t xml:space="preserve">RAHUL       </t>
  </si>
  <si>
    <t>CHABILAL</t>
  </si>
  <si>
    <t xml:space="preserve"> MORE</t>
  </si>
  <si>
    <t xml:space="preserve">VIPUL        </t>
  </si>
  <si>
    <t xml:space="preserve">NAGSEN </t>
  </si>
  <si>
    <t>20.06.1994</t>
  </si>
  <si>
    <t>11.04.1994</t>
  </si>
  <si>
    <t>13.04.2007</t>
  </si>
  <si>
    <t>10.03.1991</t>
  </si>
  <si>
    <t>07.10.1999</t>
  </si>
  <si>
    <t>12.11.2005</t>
  </si>
  <si>
    <t>31.03.1997</t>
  </si>
  <si>
    <t>11.05.2001</t>
  </si>
  <si>
    <t>21.08.2005</t>
  </si>
  <si>
    <t>11.04.2002</t>
  </si>
  <si>
    <t>06.03.1998</t>
  </si>
  <si>
    <t>16.02.2008</t>
  </si>
  <si>
    <t>07.10.2005</t>
  </si>
  <si>
    <t>02.02.1995</t>
  </si>
  <si>
    <t>5 L3</t>
  </si>
  <si>
    <t>10 Contactor Workers</t>
  </si>
  <si>
    <t>5 Dhule</t>
  </si>
  <si>
    <t>5 Sunday</t>
  </si>
  <si>
    <t>12 G Shift (Dhule)</t>
  </si>
  <si>
    <t>6 L3</t>
  </si>
  <si>
    <t>11 Contactor Workers</t>
  </si>
  <si>
    <t>6 Dhule</t>
  </si>
  <si>
    <t>6 Sunday</t>
  </si>
  <si>
    <t>13 G Shift (Dhule)</t>
  </si>
  <si>
    <t>7 L3</t>
  </si>
  <si>
    <t>12 Contactor Workers</t>
  </si>
  <si>
    <t>7 Dhule</t>
  </si>
  <si>
    <t>7 Sunday</t>
  </si>
  <si>
    <t>14 G Shift (Dhule)</t>
  </si>
  <si>
    <t>8 L3</t>
  </si>
  <si>
    <t>13 Contactor Workers</t>
  </si>
  <si>
    <t>8 Dhule</t>
  </si>
  <si>
    <t>8 Sunday</t>
  </si>
  <si>
    <t>15 G Shift (Dhule)</t>
  </si>
  <si>
    <t>9 L3</t>
  </si>
  <si>
    <t>14 Contactor Workers</t>
  </si>
  <si>
    <t>9 Dhule</t>
  </si>
  <si>
    <t>9 Sunday</t>
  </si>
  <si>
    <t>16 G Shift (Dhule)</t>
  </si>
  <si>
    <t>10 L3</t>
  </si>
  <si>
    <t>15 Contactor Workers</t>
  </si>
  <si>
    <t>10 Dhule</t>
  </si>
  <si>
    <t>10 Sunday</t>
  </si>
  <si>
    <t>17 G Shift (Dhule)</t>
  </si>
  <si>
    <t>11 L3</t>
  </si>
  <si>
    <t>16 Contactor Workers</t>
  </si>
  <si>
    <t>11 Dhule</t>
  </si>
  <si>
    <t>11 Sunday</t>
  </si>
  <si>
    <t>18 G Shift (Dhule)</t>
  </si>
  <si>
    <t>12 L3</t>
  </si>
  <si>
    <t>17 Contactor Workers</t>
  </si>
  <si>
    <t>12 Dhule</t>
  </si>
  <si>
    <t>12 Sunday</t>
  </si>
  <si>
    <t>19 G Shift (Dhule)</t>
  </si>
  <si>
    <t>13 L3</t>
  </si>
  <si>
    <t>18 Contactor Workers</t>
  </si>
  <si>
    <t>13 Dhule</t>
  </si>
  <si>
    <t>13 Sunday</t>
  </si>
  <si>
    <t>20 G Shift (Dhule)</t>
  </si>
  <si>
    <t>14 L3</t>
  </si>
  <si>
    <t>19 Contactor Workers</t>
  </si>
  <si>
    <t>14 Dhule</t>
  </si>
  <si>
    <t>14 Sunday</t>
  </si>
  <si>
    <t>21 G Shift (Dhule)</t>
  </si>
  <si>
    <t>15 L3</t>
  </si>
  <si>
    <t>20 Contactor Workers</t>
  </si>
  <si>
    <t>15 Dhule</t>
  </si>
  <si>
    <t>15 Sunday</t>
  </si>
  <si>
    <t>22 G Shift (Dhule)</t>
  </si>
  <si>
    <t>16 L3</t>
  </si>
  <si>
    <t>21 Contactor Workers</t>
  </si>
  <si>
    <t>16 Dhule</t>
  </si>
  <si>
    <t>16 Sunday</t>
  </si>
  <si>
    <t>23 G Shift (Dhule)</t>
  </si>
  <si>
    <t>60584233498</t>
  </si>
  <si>
    <t>0111131001804</t>
  </si>
  <si>
    <t>80075239900</t>
  </si>
  <si>
    <t>80097168942</t>
  </si>
  <si>
    <t>THE HASTI CO PO BANK LIMITED</t>
  </si>
  <si>
    <t>SBIN0004846</t>
  </si>
  <si>
    <t>MAHB0001488</t>
  </si>
  <si>
    <t>CNRB0000111</t>
  </si>
  <si>
    <t>SBIN0000291</t>
  </si>
  <si>
    <t xml:space="preserve">GAURAV LALCHAND PATIL    </t>
  </si>
  <si>
    <t>NANDU SAHEBRAO PATIL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</si>
</sst>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[$-409]d\-mmm\-yyyy;@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color theme="8" tint="0.3999755851924192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rgb="FF040C28"/>
      <name val="Calibri"/>
      <family val="2"/>
      <scheme val="minor"/>
    </font>
    <font>
      <sz val="10"/>
      <color rgb="FF767676"/>
      <name val="Calibri"/>
      <family val="2"/>
      <scheme val="minor"/>
    </font>
    <font>
      <u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4C7C5"/>
      </left>
      <right style="medium">
        <color rgb="FFC4C7C5"/>
      </right>
      <top style="medium">
        <color rgb="FFC4C7C5"/>
      </top>
      <bottom style="medium">
        <color rgb="FFC4C7C5"/>
      </bottom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5" fillId="0" borderId="0">
      <alignment vertical="top"/>
    </xf>
    <xf numFmtId="0" fontId="5" fillId="0" borderId="0"/>
    <xf numFmtId="0" fontId="20" fillId="0" borderId="0"/>
    <xf numFmtId="43" fontId="18" fillId="0" borderId="0" applyFont="0" applyFill="0" applyBorder="0" applyAlignment="0" applyProtection="0"/>
    <xf numFmtId="0" fontId="20" fillId="0" borderId="0"/>
    <xf numFmtId="43" fontId="18" fillId="0" borderId="0" applyFont="0" applyFill="0" applyBorder="0" applyAlignment="0" applyProtection="0"/>
    <xf numFmtId="0" fontId="20" fillId="0" borderId="0"/>
  </cellStyleXfs>
  <cellXfs count="74">
    <xf numFmtId="0" fontId="0" fillId="0" borderId="0" xfId="0"/>
    <xf numFmtId="0" fontId="0" fillId="0" borderId="0" xfId="0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" fontId="7" fillId="0" borderId="1" xfId="1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7" fillId="0" borderId="0" xfId="1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5" fontId="6" fillId="4" borderId="1" xfId="2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1" fontId="2" fillId="3" borderId="0" xfId="0" applyNumberFormat="1" applyFont="1" applyFill="1" applyAlignment="1">
      <alignment horizontal="center" vertical="center"/>
    </xf>
    <xf numFmtId="1" fontId="8" fillId="3" borderId="0" xfId="0" applyNumberFormat="1" applyFont="1" applyFill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shrinkToFit="1"/>
    </xf>
    <xf numFmtId="15" fontId="6" fillId="0" borderId="1" xfId="2" applyNumberFormat="1" applyFont="1" applyBorder="1" applyAlignment="1">
      <alignment horizontal="center" vertical="center"/>
    </xf>
    <xf numFmtId="49" fontId="6" fillId="0" borderId="1" xfId="2" applyNumberFormat="1" applyFont="1" applyBorder="1" applyAlignment="1">
      <alignment horizontal="center" vertical="center"/>
    </xf>
    <xf numFmtId="0" fontId="6" fillId="0" borderId="1" xfId="2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" fontId="6" fillId="0" borderId="1" xfId="2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" fontId="14" fillId="0" borderId="1" xfId="1" applyNumberFormat="1" applyFont="1" applyFill="1" applyBorder="1" applyAlignment="1">
      <alignment horizontal="center" vertical="center"/>
    </xf>
    <xf numFmtId="49" fontId="6" fillId="0" borderId="1" xfId="2" quotePrefix="1" applyNumberFormat="1" applyFont="1" applyBorder="1" applyAlignment="1">
      <alignment horizontal="center" vertical="center"/>
    </xf>
    <xf numFmtId="0" fontId="6" fillId="0" borderId="1" xfId="2" applyFont="1" applyBorder="1" applyAlignment="1">
      <alignment horizontal="center" vertical="center" shrinkToFit="1"/>
    </xf>
    <xf numFmtId="1" fontId="6" fillId="0" borderId="1" xfId="2" quotePrefix="1" applyNumberFormat="1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11" fillId="0" borderId="1" xfId="0" quotePrefix="1" applyFont="1" applyBorder="1" applyAlignment="1">
      <alignment horizontal="center" vertical="center"/>
    </xf>
    <xf numFmtId="0" fontId="11" fillId="5" borderId="1" xfId="0" quotePrefix="1" applyFont="1" applyFill="1" applyBorder="1" applyAlignment="1">
      <alignment horizontal="center" vertical="center"/>
    </xf>
    <xf numFmtId="1" fontId="3" fillId="5" borderId="1" xfId="0" applyNumberFormat="1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14" fontId="6" fillId="0" borderId="1" xfId="2" applyNumberFormat="1" applyFont="1" applyBorder="1" applyAlignment="1">
      <alignment horizontal="center" vertical="center"/>
    </xf>
    <xf numFmtId="1" fontId="6" fillId="4" borderId="1" xfId="2" quotePrefix="1" applyNumberFormat="1" applyFont="1" applyFill="1" applyBorder="1" applyAlignment="1">
      <alignment horizontal="center" vertical="center"/>
    </xf>
    <xf numFmtId="0" fontId="6" fillId="4" borderId="1" xfId="2" applyFont="1" applyFill="1" applyBorder="1" applyAlignment="1">
      <alignment horizontal="center" vertical="center" shrinkToFit="1"/>
    </xf>
    <xf numFmtId="0" fontId="6" fillId="4" borderId="1" xfId="2" applyFont="1" applyFill="1" applyBorder="1" applyAlignment="1">
      <alignment horizontal="center" vertical="center"/>
    </xf>
    <xf numFmtId="49" fontId="6" fillId="4" borderId="1" xfId="2" quotePrefix="1" applyNumberFormat="1" applyFont="1" applyFill="1" applyBorder="1" applyAlignment="1">
      <alignment horizontal="center" vertical="center"/>
    </xf>
    <xf numFmtId="164" fontId="2" fillId="4" borderId="1" xfId="0" applyNumberFormat="1" applyFont="1" applyFill="1" applyBorder="1" applyAlignment="1">
      <alignment horizontal="center" vertical="center"/>
    </xf>
    <xf numFmtId="1" fontId="7" fillId="0" borderId="1" xfId="1" applyNumberFormat="1" applyFont="1" applyBorder="1" applyAlignment="1">
      <alignment horizontal="center" vertical="center"/>
    </xf>
    <xf numFmtId="0" fontId="3" fillId="5" borderId="1" xfId="0" quotePrefix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" fillId="4" borderId="1" xfId="0" applyFont="1" applyFill="1" applyBorder="1" applyAlignment="1">
      <alignment horizontal="center" vertical="center"/>
    </xf>
    <xf numFmtId="0" fontId="17" fillId="0" borderId="2" xfId="0" applyFont="1" applyBorder="1" applyAlignment="1">
      <alignment horizontal="right" vertical="center" wrapText="1" indent="1"/>
    </xf>
    <xf numFmtId="0" fontId="16" fillId="0" borderId="2" xfId="0" applyFont="1" applyBorder="1" applyAlignment="1">
      <alignment horizontal="right" vertical="center" wrapText="1" indent="1"/>
    </xf>
    <xf numFmtId="0" fontId="2" fillId="0" borderId="1" xfId="2" applyFont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" fontId="3" fillId="4" borderId="1" xfId="0" applyNumberFormat="1" applyFont="1" applyFill="1" applyBorder="1" applyAlignment="1">
      <alignment horizontal="center" vertical="center"/>
    </xf>
    <xf numFmtId="1" fontId="7" fillId="4" borderId="1" xfId="1" applyNumberFormat="1" applyFont="1" applyFill="1" applyBorder="1" applyAlignment="1">
      <alignment horizontal="center" vertical="center"/>
    </xf>
    <xf numFmtId="0" fontId="2" fillId="4" borderId="1" xfId="0" quotePrefix="1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1" fontId="2" fillId="0" borderId="1" xfId="0" applyNumberFormat="1" applyFont="1" applyBorder="1" applyAlignment="1">
      <alignment horizontal="center" vertical="center"/>
    </xf>
    <xf numFmtId="1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 applyProtection="1">
      <alignment horizontal="center" vertical="center"/>
      <protection locked="0"/>
    </xf>
    <xf numFmtId="1" fontId="7" fillId="0" borderId="0" xfId="1" applyNumberFormat="1" applyFont="1" applyFill="1" applyAlignment="1">
      <alignment horizontal="center" vertical="center"/>
    </xf>
  </cellXfs>
  <cellStyles count="9">
    <cellStyle name="Comma 2" xfId="5" xr:uid="{5B33B37C-FA6C-48FD-A790-C76E6A0F4B55}"/>
    <cellStyle name="Comma 2 2" xfId="7" xr:uid="{AAC1D9C8-5064-46A7-94F1-52ADA1B03BF7}"/>
    <cellStyle name="Hyperlink" xfId="1" builtinId="8"/>
    <cellStyle name="Normal" xfId="0" builtinId="0"/>
    <cellStyle name="Normal 2" xfId="4" xr:uid="{D62EF7AC-860E-4ED7-B6C7-862CE8669D5D}"/>
    <cellStyle name="Normal 2 2" xfId="6" xr:uid="{68AA1704-59B0-406F-8F69-B813FD102588}"/>
    <cellStyle name="Normal 2 2 2" xfId="3" xr:uid="{51DB4189-DB66-413B-B4FB-7A371B6DA9A7}"/>
    <cellStyle name="Normal 2 2 3" xfId="8" xr:uid="{F737FC5E-CF64-47EA-B3A2-5F662DB1C1BB}"/>
    <cellStyle name="Normal 2_NEHA-Contract Labour Bill - June -2012" xfId="2" xr:uid="{00000000-0005-0000-0000-000002000000}"/>
  </cellStyles>
  <dxfs count="328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P%20ZBOOK%2015%20G3\Documents\555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P%20ZBOOK%2015%20G3\Desktop\JULY\SURVE%20MAL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P%20ZBOOK%2015%20G3\Desktop\JULY\SURVE%20WOMEN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P%20ZBOOK%2015%20G3\Downloads\SUZLON_HRMS1333_180520261405SS530e2864-bad7-4e03-bf4a-a0c3c3fc97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oice-38"/>
      <sheetName val="BILLING &amp; PAY SHEET"/>
      <sheetName val="Payment List "/>
      <sheetName val="SALARY SHEET"/>
      <sheetName val="ESIC PENDING"/>
    </sheetNames>
    <sheetDataSet>
      <sheetData sheetId="0"/>
      <sheetData sheetId="1">
        <row r="9">
          <cell r="C9" t="str">
            <v>BI02</v>
          </cell>
          <cell r="D9" t="str">
            <v>AMAR PRATAPSING RAJPUT</v>
          </cell>
          <cell r="E9" t="str">
            <v>PRATAPSING RAJPUT</v>
          </cell>
          <cell r="F9" t="str">
            <v>Male</v>
          </cell>
          <cell r="G9" t="str">
            <v>Shanimadal Tal Nandurbar</v>
          </cell>
          <cell r="H9" t="str">
            <v>01.07.1995</v>
          </cell>
          <cell r="I9" t="str">
            <v>20.09.2023</v>
          </cell>
        </row>
        <row r="10">
          <cell r="C10" t="str">
            <v>BI05</v>
          </cell>
          <cell r="D10" t="str">
            <v>BHATU RAMESH BORSE</v>
          </cell>
          <cell r="E10" t="str">
            <v>RAMESH BORSE</v>
          </cell>
          <cell r="F10" t="str">
            <v>Male</v>
          </cell>
          <cell r="G10" t="str">
            <v>Khori Tal sakri</v>
          </cell>
          <cell r="H10" t="str">
            <v>06.10.1998</v>
          </cell>
          <cell r="I10" t="str">
            <v>20.09.2023</v>
          </cell>
        </row>
        <row r="11">
          <cell r="C11" t="str">
            <v>BI07</v>
          </cell>
          <cell r="D11" t="str">
            <v>BHUSHAN ANANDA GHODES</v>
          </cell>
          <cell r="E11" t="str">
            <v>ANANDA GHODSE</v>
          </cell>
          <cell r="F11" t="str">
            <v>Male</v>
          </cell>
          <cell r="G11" t="str">
            <v>Titane Tal Sakri,Dhule</v>
          </cell>
          <cell r="H11" t="str">
            <v>10.03.1998</v>
          </cell>
          <cell r="I11" t="str">
            <v>20.09.2023</v>
          </cell>
        </row>
        <row r="12">
          <cell r="C12" t="str">
            <v>BI09</v>
          </cell>
          <cell r="D12" t="str">
            <v>DHANRAJ YUVRAJ BACHHAV</v>
          </cell>
          <cell r="E12" t="str">
            <v>YUVRAJ BACHHAV</v>
          </cell>
          <cell r="F12" t="str">
            <v>Male</v>
          </cell>
          <cell r="G12" t="str">
            <v>Khori Tal sakri</v>
          </cell>
          <cell r="H12" t="str">
            <v>12.07.1994</v>
          </cell>
          <cell r="I12" t="str">
            <v>20.09.2023</v>
          </cell>
        </row>
        <row r="13">
          <cell r="C13" t="str">
            <v>BI10</v>
          </cell>
          <cell r="D13" t="str">
            <v>DILVARASING VEDUSING RAJPUT</v>
          </cell>
          <cell r="E13" t="str">
            <v>VEDUSING RAJPUT</v>
          </cell>
          <cell r="F13" t="str">
            <v>Male</v>
          </cell>
          <cell r="G13" t="str">
            <v>Talwade Tal Nadurbar</v>
          </cell>
          <cell r="H13" t="str">
            <v>13.10.2000</v>
          </cell>
          <cell r="I13" t="str">
            <v>20.09.2023</v>
          </cell>
        </row>
        <row r="14">
          <cell r="C14" t="str">
            <v>BI12</v>
          </cell>
          <cell r="D14" t="str">
            <v>DHANANJAY SHRIDHAR SONAWANE</v>
          </cell>
          <cell r="E14" t="str">
            <v>SHRIDHAR SONAWANE</v>
          </cell>
          <cell r="F14" t="str">
            <v>Male</v>
          </cell>
          <cell r="G14" t="str">
            <v xml:space="preserve">Chhadvel KordeTal Sakri dhule </v>
          </cell>
          <cell r="H14" t="str">
            <v>10.12.1998</v>
          </cell>
          <cell r="I14" t="str">
            <v>20.09.2023</v>
          </cell>
        </row>
        <row r="15">
          <cell r="C15" t="str">
            <v>BI13</v>
          </cell>
          <cell r="D15" t="str">
            <v>GURUDAS HILAL THAKARE</v>
          </cell>
          <cell r="E15" t="str">
            <v>HILAL THAKARE</v>
          </cell>
          <cell r="F15" t="str">
            <v>Male</v>
          </cell>
          <cell r="G15" t="str">
            <v xml:space="preserve">Chhadvel KordeTal Sakri dhule </v>
          </cell>
          <cell r="H15" t="str">
            <v>28.07.1994</v>
          </cell>
          <cell r="I15" t="str">
            <v>20.09.2023</v>
          </cell>
        </row>
        <row r="16">
          <cell r="C16" t="str">
            <v>BI14</v>
          </cell>
          <cell r="D16" t="str">
            <v>HIRALAL BRIJLAL KOKANI</v>
          </cell>
          <cell r="E16" t="str">
            <v>BRIJLAL KOKANI</v>
          </cell>
          <cell r="F16" t="str">
            <v>Male</v>
          </cell>
          <cell r="G16" t="str">
            <v>Navapada tal Sakri</v>
          </cell>
          <cell r="H16" t="str">
            <v>25.12.1990</v>
          </cell>
          <cell r="I16" t="str">
            <v>20.09.2023</v>
          </cell>
        </row>
        <row r="17">
          <cell r="C17" t="str">
            <v>BI16</v>
          </cell>
          <cell r="D17" t="str">
            <v>ISHWAR KARBHARI GAWALE</v>
          </cell>
          <cell r="E17" t="str">
            <v>KARBHARI GAWALE</v>
          </cell>
          <cell r="F17" t="str">
            <v>Male</v>
          </cell>
          <cell r="G17" t="str">
            <v>Bhamer Tal sakri, Dhule</v>
          </cell>
          <cell r="H17" t="str">
            <v>30.08.2002</v>
          </cell>
          <cell r="I17" t="str">
            <v>20.09.2023</v>
          </cell>
        </row>
        <row r="18">
          <cell r="C18" t="str">
            <v>BI18</v>
          </cell>
          <cell r="D18" t="str">
            <v>KUNAL PRALHAD PATIL</v>
          </cell>
          <cell r="E18" t="str">
            <v>PRALHAD PATIL</v>
          </cell>
          <cell r="F18" t="str">
            <v>Male</v>
          </cell>
          <cell r="G18" t="str">
            <v>Titane Tal Sakri,Dhule</v>
          </cell>
          <cell r="H18" t="str">
            <v>27.12.2004</v>
          </cell>
          <cell r="I18" t="str">
            <v>20.09.2023</v>
          </cell>
        </row>
        <row r="19">
          <cell r="C19" t="str">
            <v>BI20</v>
          </cell>
          <cell r="D19" t="str">
            <v>MANIK VEDU BACHHAV</v>
          </cell>
          <cell r="E19" t="str">
            <v>VEDU BACHHAV</v>
          </cell>
          <cell r="F19" t="str">
            <v>Male</v>
          </cell>
          <cell r="G19" t="str">
            <v>Khori Tal. Sakri, Dhule</v>
          </cell>
          <cell r="H19" t="str">
            <v>18.01.1991</v>
          </cell>
          <cell r="I19" t="str">
            <v>20.09.2023</v>
          </cell>
        </row>
        <row r="20">
          <cell r="C20" t="str">
            <v>BI22</v>
          </cell>
          <cell r="D20" t="str">
            <v>NAGESHWAR RATAN RAJPUT</v>
          </cell>
          <cell r="E20" t="str">
            <v>RATAN RAJPUT</v>
          </cell>
          <cell r="F20" t="str">
            <v>Male</v>
          </cell>
          <cell r="G20" t="str">
            <v>Talwade Tal Nadurbar</v>
          </cell>
          <cell r="H20" t="str">
            <v>25.04.1990</v>
          </cell>
          <cell r="I20" t="str">
            <v>20.09.2023</v>
          </cell>
        </row>
        <row r="21">
          <cell r="C21" t="str">
            <v>BI23</v>
          </cell>
          <cell r="D21" t="str">
            <v>NILESH RAVSAHEB DAHITE</v>
          </cell>
          <cell r="E21" t="str">
            <v>RAVSAHEB DAHITE</v>
          </cell>
          <cell r="F21" t="str">
            <v>Male</v>
          </cell>
          <cell r="G21" t="str">
            <v>Titane Tal Sakri,Dhule</v>
          </cell>
          <cell r="H21" t="str">
            <v>07.08.2003</v>
          </cell>
          <cell r="I21" t="str">
            <v>20.09.2023</v>
          </cell>
        </row>
        <row r="22">
          <cell r="C22" t="str">
            <v>BI26</v>
          </cell>
          <cell r="D22" t="str">
            <v>PRASHANT BAPU SONAWANE</v>
          </cell>
          <cell r="E22" t="str">
            <v>BAPU SONAWANE</v>
          </cell>
          <cell r="F22" t="str">
            <v>Male</v>
          </cell>
          <cell r="G22" t="str">
            <v>Bhamer Tal sakri, Dhule</v>
          </cell>
          <cell r="H22" t="str">
            <v>24.05.1999</v>
          </cell>
          <cell r="I22" t="str">
            <v>20.09.2023</v>
          </cell>
        </row>
        <row r="23">
          <cell r="C23" t="str">
            <v>BI28</v>
          </cell>
          <cell r="D23" t="str">
            <v>PAWAN SUBHASH SONAWANE</v>
          </cell>
          <cell r="E23" t="str">
            <v>SUBHASH SONAWANE</v>
          </cell>
          <cell r="F23" t="str">
            <v>Male</v>
          </cell>
          <cell r="G23" t="str">
            <v>Bhamer Tal sakri, Dhule</v>
          </cell>
          <cell r="H23" t="str">
            <v>19.11.1995</v>
          </cell>
          <cell r="I23" t="str">
            <v>20.09.2023</v>
          </cell>
        </row>
        <row r="24">
          <cell r="C24" t="str">
            <v>BI29</v>
          </cell>
          <cell r="D24" t="str">
            <v>PRATIK PANDHARINATH MAHIRE</v>
          </cell>
          <cell r="E24" t="str">
            <v>PANDHARINATH MAHIRE</v>
          </cell>
          <cell r="F24" t="str">
            <v>Male</v>
          </cell>
          <cell r="G24" t="str">
            <v>Shanimandal Tal Nandurbar</v>
          </cell>
          <cell r="H24" t="str">
            <v>10.12.1993</v>
          </cell>
          <cell r="I24" t="str">
            <v>20.09.2023</v>
          </cell>
        </row>
        <row r="25">
          <cell r="C25" t="str">
            <v>BI34</v>
          </cell>
          <cell r="D25" t="str">
            <v>RAJENDRA VANJI BAGUL</v>
          </cell>
          <cell r="E25" t="str">
            <v>VANJI BAGUL</v>
          </cell>
          <cell r="F25" t="str">
            <v>Male</v>
          </cell>
          <cell r="G25" t="str">
            <v xml:space="preserve">Chhadvel KordeTal Sakri dhule </v>
          </cell>
          <cell r="H25" t="str">
            <v>01.01.1996</v>
          </cell>
          <cell r="I25" t="str">
            <v>20.09.2023</v>
          </cell>
        </row>
        <row r="26">
          <cell r="C26" t="str">
            <v>BI35</v>
          </cell>
          <cell r="D26" t="str">
            <v>ROHIT VILAS BEDSE</v>
          </cell>
          <cell r="E26" t="str">
            <v>VILAS BEDSE</v>
          </cell>
          <cell r="F26" t="str">
            <v>Male</v>
          </cell>
          <cell r="G26" t="str">
            <v xml:space="preserve">Chhadvel KordeTal Sakri dhule </v>
          </cell>
          <cell r="H26" t="str">
            <v>10.11.1999</v>
          </cell>
          <cell r="I26" t="str">
            <v>20.09.2023</v>
          </cell>
        </row>
        <row r="27">
          <cell r="C27" t="str">
            <v>BI36</v>
          </cell>
          <cell r="D27" t="str">
            <v>SUJIT RAJENDRA DEORE</v>
          </cell>
          <cell r="E27" t="str">
            <v>RAJENDRA DEORE</v>
          </cell>
          <cell r="F27" t="str">
            <v>Male</v>
          </cell>
          <cell r="G27" t="str">
            <v>Vaskhedi Tal Sakri</v>
          </cell>
          <cell r="H27" t="str">
            <v>27.05.2000</v>
          </cell>
          <cell r="I27" t="str">
            <v>20.09.2023</v>
          </cell>
        </row>
        <row r="28">
          <cell r="C28" t="str">
            <v>BI37</v>
          </cell>
          <cell r="D28" t="str">
            <v xml:space="preserve">SHANKAR LASHYA BAGUL </v>
          </cell>
          <cell r="E28" t="str">
            <v xml:space="preserve"> LASHYA BAGUL </v>
          </cell>
          <cell r="F28" t="str">
            <v>Male</v>
          </cell>
          <cell r="G28" t="str">
            <v>Pachale Tal Sakri</v>
          </cell>
          <cell r="H28" t="str">
            <v>02.05.1991</v>
          </cell>
          <cell r="I28" t="str">
            <v>20.09.2023</v>
          </cell>
        </row>
        <row r="29">
          <cell r="C29" t="str">
            <v>BI38</v>
          </cell>
          <cell r="D29" t="str">
            <v>SAMADHAN BALU PATIL</v>
          </cell>
          <cell r="E29" t="str">
            <v>BALU PATIL</v>
          </cell>
          <cell r="F29" t="str">
            <v>Male</v>
          </cell>
          <cell r="G29" t="str">
            <v>Shanimandal Tal Nandurbar</v>
          </cell>
          <cell r="H29" t="str">
            <v>02.07.1987</v>
          </cell>
          <cell r="I29" t="str">
            <v>20.09.2023</v>
          </cell>
        </row>
        <row r="30">
          <cell r="C30" t="str">
            <v>BI41</v>
          </cell>
          <cell r="D30" t="str">
            <v>UMESH SUBHASH PATIL</v>
          </cell>
          <cell r="E30" t="str">
            <v>SUBHASH PATIL</v>
          </cell>
          <cell r="F30" t="str">
            <v>Male</v>
          </cell>
          <cell r="G30" t="str">
            <v>Talwade Tal Nadurbar</v>
          </cell>
          <cell r="H30" t="str">
            <v>22.05.1999</v>
          </cell>
          <cell r="I30" t="str">
            <v>20.09.2023</v>
          </cell>
        </row>
        <row r="31">
          <cell r="C31" t="str">
            <v>BI42</v>
          </cell>
          <cell r="D31" t="str">
            <v>VINOD GULAB PAWAR</v>
          </cell>
          <cell r="E31" t="str">
            <v>GULAB PAWAR</v>
          </cell>
          <cell r="F31" t="str">
            <v>Male</v>
          </cell>
          <cell r="G31" t="str">
            <v>Khori Tal. Sakri, Dhule</v>
          </cell>
          <cell r="H31" t="str">
            <v>28.06.1990</v>
          </cell>
          <cell r="I31" t="str">
            <v>20.09.2023</v>
          </cell>
        </row>
        <row r="32">
          <cell r="C32" t="str">
            <v>BI43</v>
          </cell>
          <cell r="D32" t="str">
            <v>YOGESH SHARAD DEORE</v>
          </cell>
          <cell r="E32" t="str">
            <v>SHARAD DEORE</v>
          </cell>
          <cell r="F32" t="str">
            <v>Male</v>
          </cell>
          <cell r="G32" t="str">
            <v>Titane Tal Sakri,Dhule</v>
          </cell>
          <cell r="H32" t="str">
            <v>13.07.2000</v>
          </cell>
          <cell r="I32" t="str">
            <v>20.09.2023</v>
          </cell>
        </row>
        <row r="33">
          <cell r="C33" t="str">
            <v>BI44</v>
          </cell>
          <cell r="D33" t="str">
            <v>YUVRAJ BRIJLAL CHOUDHARI</v>
          </cell>
          <cell r="E33" t="str">
            <v>BRIJLAL CHOUDHARI</v>
          </cell>
          <cell r="F33" t="str">
            <v>Male</v>
          </cell>
          <cell r="G33" t="str">
            <v>Dhawali  Tal Sakri</v>
          </cell>
          <cell r="H33" t="str">
            <v>09.05.1983</v>
          </cell>
          <cell r="I33" t="str">
            <v>20.09.2023</v>
          </cell>
        </row>
        <row r="34">
          <cell r="C34" t="str">
            <v>BI46</v>
          </cell>
          <cell r="D34" t="str">
            <v>YOGESH DIPAK GANGURDE</v>
          </cell>
          <cell r="E34" t="str">
            <v>DIPAK GANGURDE</v>
          </cell>
          <cell r="F34" t="str">
            <v>Male</v>
          </cell>
          <cell r="G34" t="str">
            <v>Pimpalner Tal sakri</v>
          </cell>
          <cell r="H34" t="str">
            <v>31.10.2000</v>
          </cell>
          <cell r="I34" t="str">
            <v>20.09.2023</v>
          </cell>
        </row>
        <row r="35">
          <cell r="C35" t="str">
            <v>BI47</v>
          </cell>
          <cell r="D35" t="str">
            <v>YOGESH RAVINDRA PATIL</v>
          </cell>
          <cell r="E35" t="str">
            <v>RAVINDRA PATIL</v>
          </cell>
          <cell r="F35" t="str">
            <v>Male</v>
          </cell>
          <cell r="G35" t="str">
            <v>Shanimandal Tal Nandurbar</v>
          </cell>
          <cell r="H35" t="str">
            <v>04.03.1996</v>
          </cell>
          <cell r="I35" t="str">
            <v>20.09.2023</v>
          </cell>
        </row>
        <row r="36">
          <cell r="C36" t="str">
            <v>BI48</v>
          </cell>
          <cell r="D36" t="str">
            <v>YOGESHKUMAR SURESHCHANDRA GAWALE</v>
          </cell>
          <cell r="E36" t="str">
            <v>SURESHCHANDRA GAWALE</v>
          </cell>
          <cell r="F36" t="str">
            <v>Male</v>
          </cell>
          <cell r="G36" t="str">
            <v>Bhamer Tal sakri, Dhule</v>
          </cell>
          <cell r="H36" t="str">
            <v>09.12.1999</v>
          </cell>
          <cell r="I36" t="str">
            <v>20.09.2023</v>
          </cell>
        </row>
        <row r="37">
          <cell r="C37" t="str">
            <v>BI49</v>
          </cell>
          <cell r="D37" t="str">
            <v>YUVRAJ PARSHURAM BARDE</v>
          </cell>
          <cell r="E37" t="str">
            <v>PARSHURAM BARDE</v>
          </cell>
          <cell r="F37" t="str">
            <v>Male</v>
          </cell>
          <cell r="G37" t="str">
            <v xml:space="preserve">Chhadvel KordeTal Sakri dhule </v>
          </cell>
          <cell r="H37" t="str">
            <v>06.03.1991</v>
          </cell>
          <cell r="I37" t="str">
            <v>20.09.2023</v>
          </cell>
        </row>
        <row r="38">
          <cell r="C38" t="str">
            <v>BI50</v>
          </cell>
          <cell r="D38" t="str">
            <v>UJJWAL BHASKAR GANGURDE</v>
          </cell>
          <cell r="E38" t="str">
            <v>BHASHAR GANGURDE</v>
          </cell>
          <cell r="F38" t="str">
            <v>Male</v>
          </cell>
          <cell r="G38" t="str">
            <v xml:space="preserve">Chhadvel KordeTal Sakri dhule </v>
          </cell>
          <cell r="H38" t="str">
            <v>15.08.1980</v>
          </cell>
          <cell r="I38" t="str">
            <v>20.09.2023</v>
          </cell>
        </row>
        <row r="39">
          <cell r="C39" t="str">
            <v>BI51</v>
          </cell>
          <cell r="D39" t="str">
            <v>MANOJ KAILAS AHIRE</v>
          </cell>
          <cell r="E39" t="str">
            <v>KAILAS AHIRE</v>
          </cell>
          <cell r="F39" t="str">
            <v>Male</v>
          </cell>
          <cell r="G39" t="str">
            <v xml:space="preserve">Chhadvel KordeTal Sakri dhule </v>
          </cell>
          <cell r="H39" t="str">
            <v>27.11.2002</v>
          </cell>
          <cell r="I39" t="str">
            <v>20.09.2023</v>
          </cell>
        </row>
        <row r="40">
          <cell r="C40" t="str">
            <v>BI54</v>
          </cell>
          <cell r="D40" t="str">
            <v>KESHAV SAHEBRAO PAWAR</v>
          </cell>
          <cell r="E40" t="str">
            <v>SAHEBRAO PAWAR</v>
          </cell>
          <cell r="F40" t="str">
            <v>Male</v>
          </cell>
          <cell r="G40" t="str">
            <v>Shanimandal Tal Nandurbar</v>
          </cell>
          <cell r="H40" t="str">
            <v>02.03.2005</v>
          </cell>
          <cell r="I40" t="str">
            <v>03.01.2024</v>
          </cell>
        </row>
        <row r="41">
          <cell r="C41" t="str">
            <v>BI56</v>
          </cell>
          <cell r="D41" t="str">
            <v>DIPAK NAMDEV MALI</v>
          </cell>
          <cell r="E41" t="str">
            <v>NAMDEV MALI</v>
          </cell>
          <cell r="F41" t="str">
            <v>Male</v>
          </cell>
          <cell r="G41" t="str">
            <v>Shanimandal Tal Nandurbar</v>
          </cell>
          <cell r="H41" t="str">
            <v>25.07.2002</v>
          </cell>
          <cell r="I41" t="str">
            <v>03.01.2023</v>
          </cell>
        </row>
        <row r="42">
          <cell r="C42" t="str">
            <v>BI60</v>
          </cell>
          <cell r="D42" t="str">
            <v>AJIT KISAN GAVIT</v>
          </cell>
          <cell r="E42" t="str">
            <v>KISAN GAVIT</v>
          </cell>
          <cell r="F42" t="str">
            <v>Male</v>
          </cell>
          <cell r="G42" t="str">
            <v>Sinbun Tal Dhule</v>
          </cell>
          <cell r="H42" t="str">
            <v>08.12.1991</v>
          </cell>
          <cell r="I42" t="str">
            <v>03.01.2023</v>
          </cell>
        </row>
        <row r="43">
          <cell r="C43" t="str">
            <v>BI61</v>
          </cell>
          <cell r="D43" t="str">
            <v>MACHHINDRA CHANDRASING PADAVI</v>
          </cell>
          <cell r="E43" t="str">
            <v>CHANDRASING PADAVI</v>
          </cell>
          <cell r="F43" t="str">
            <v>Male</v>
          </cell>
          <cell r="G43" t="str">
            <v>kathi Tal Akkalkuva</v>
          </cell>
          <cell r="H43" t="str">
            <v>13.02.1995</v>
          </cell>
          <cell r="I43" t="str">
            <v>03.01.2023</v>
          </cell>
        </row>
        <row r="44">
          <cell r="C44" t="str">
            <v>BI68</v>
          </cell>
          <cell r="D44" t="str">
            <v>NITIN JAGDEV BORASE</v>
          </cell>
          <cell r="E44" t="str">
            <v>JAGDEV BORASE</v>
          </cell>
          <cell r="F44" t="str">
            <v>Male</v>
          </cell>
          <cell r="G44" t="str">
            <v>Khori Tal Sakri</v>
          </cell>
          <cell r="H44" t="str">
            <v>01.01.2003</v>
          </cell>
          <cell r="I44" t="str">
            <v>03.01.2023</v>
          </cell>
        </row>
        <row r="45">
          <cell r="C45" t="str">
            <v>BI69</v>
          </cell>
          <cell r="D45" t="str">
            <v>VASANT KISAN MAHALE</v>
          </cell>
          <cell r="E45" t="str">
            <v>KISAN MAHALE</v>
          </cell>
          <cell r="F45" t="str">
            <v>Male</v>
          </cell>
          <cell r="G45" t="str">
            <v>Jaitane Tal Sakri</v>
          </cell>
          <cell r="H45" t="str">
            <v>09.09.1993</v>
          </cell>
          <cell r="I45" t="str">
            <v>03.01.2023</v>
          </cell>
        </row>
        <row r="46">
          <cell r="C46" t="str">
            <v>BI70</v>
          </cell>
          <cell r="D46" t="str">
            <v>SAMADHAN GOKUL KHAIRNAR</v>
          </cell>
          <cell r="E46" t="str">
            <v>GOKUL KHAIRNAR</v>
          </cell>
          <cell r="F46" t="str">
            <v>Male</v>
          </cell>
          <cell r="G46" t="str">
            <v>Jaitane Tal Sakri</v>
          </cell>
          <cell r="H46" t="str">
            <v>13.05.1997</v>
          </cell>
          <cell r="I46" t="str">
            <v>03.01.2023</v>
          </cell>
        </row>
        <row r="47">
          <cell r="C47" t="str">
            <v>BI71</v>
          </cell>
          <cell r="D47" t="str">
            <v>HARSHAL GULAB SHINDE</v>
          </cell>
          <cell r="E47" t="str">
            <v>GULAB SHINDE</v>
          </cell>
          <cell r="F47" t="str">
            <v>Male</v>
          </cell>
          <cell r="G47" t="str">
            <v>Titane Tal Sakri,Dhule</v>
          </cell>
          <cell r="H47" t="str">
            <v>03.05.2005</v>
          </cell>
          <cell r="I47" t="str">
            <v>03.01.2023</v>
          </cell>
        </row>
        <row r="48">
          <cell r="C48" t="str">
            <v>BI75</v>
          </cell>
          <cell r="D48" t="str">
            <v>DHANRAJ RATAN CHAUHAN</v>
          </cell>
          <cell r="E48" t="str">
            <v>RATAN CHAUHAN</v>
          </cell>
          <cell r="F48" t="str">
            <v>Male</v>
          </cell>
          <cell r="G48" t="str">
            <v>Jaitane Tal Sakri</v>
          </cell>
          <cell r="H48" t="str">
            <v>01.06.1993</v>
          </cell>
          <cell r="I48" t="str">
            <v>03.01.2023</v>
          </cell>
        </row>
        <row r="49">
          <cell r="C49" t="str">
            <v>BI76</v>
          </cell>
          <cell r="D49" t="str">
            <v>SWAPNIL NANA HIRE</v>
          </cell>
          <cell r="E49" t="str">
            <v>NANA HIRE</v>
          </cell>
          <cell r="F49" t="str">
            <v>Male</v>
          </cell>
          <cell r="G49" t="str">
            <v>BAMHANE SHINDKHEDA DHULE (MH)</v>
          </cell>
          <cell r="H49" t="str">
            <v>22.12.1995</v>
          </cell>
          <cell r="I49" t="str">
            <v>03.01.2023</v>
          </cell>
        </row>
        <row r="50">
          <cell r="C50" t="str">
            <v>BI80</v>
          </cell>
          <cell r="D50" t="str">
            <v>CHANDRAKALA HIRAMAN CHAUDHARY</v>
          </cell>
          <cell r="E50" t="str">
            <v>HIRAMAN CHAUDHARY</v>
          </cell>
          <cell r="F50" t="str">
            <v>Female</v>
          </cell>
          <cell r="G50" t="str">
            <v>Navapada tal Sakri</v>
          </cell>
          <cell r="H50" t="str">
            <v>27.08.1995</v>
          </cell>
          <cell r="I50" t="str">
            <v>08.01.2023</v>
          </cell>
        </row>
        <row r="51">
          <cell r="C51" t="str">
            <v>BI82</v>
          </cell>
          <cell r="D51" t="str">
            <v xml:space="preserve">VIJAYA GANESH KOKANI </v>
          </cell>
          <cell r="E51" t="str">
            <v>GANESH KOKANI</v>
          </cell>
          <cell r="F51" t="str">
            <v>Female</v>
          </cell>
          <cell r="G51" t="str">
            <v>Pachale Tal Sakri</v>
          </cell>
          <cell r="H51" t="str">
            <v>01.08.1988</v>
          </cell>
          <cell r="I51" t="str">
            <v>08.01.2023</v>
          </cell>
        </row>
        <row r="52">
          <cell r="C52" t="str">
            <v>BI85</v>
          </cell>
          <cell r="D52" t="str">
            <v>ANJANA RAMESH CHAURE</v>
          </cell>
          <cell r="E52" t="str">
            <v>RAMESH CHAURE</v>
          </cell>
          <cell r="F52" t="str">
            <v>Female</v>
          </cell>
          <cell r="G52" t="str">
            <v>Pachale Tal Sakri</v>
          </cell>
          <cell r="H52" t="str">
            <v>13.03.1993</v>
          </cell>
          <cell r="I52" t="str">
            <v>08.01.2023</v>
          </cell>
        </row>
        <row r="53">
          <cell r="C53" t="str">
            <v>BI86</v>
          </cell>
          <cell r="D53" t="str">
            <v>NAMRATA SARDAR CHAURE</v>
          </cell>
          <cell r="E53" t="str">
            <v>SARDAR CHAURE</v>
          </cell>
          <cell r="F53" t="str">
            <v>Female</v>
          </cell>
          <cell r="G53" t="str">
            <v>Thanepada Tal Nandurbar</v>
          </cell>
          <cell r="H53" t="str">
            <v>06.01.2003</v>
          </cell>
          <cell r="I53" t="str">
            <v>08.01.2023</v>
          </cell>
        </row>
        <row r="54">
          <cell r="C54" t="str">
            <v>BI91</v>
          </cell>
          <cell r="D54" t="str">
            <v>HARSHAL ISHWAR AHIRAV</v>
          </cell>
          <cell r="E54" t="str">
            <v>ISHWAR AHIRAV</v>
          </cell>
          <cell r="F54" t="str">
            <v>Male</v>
          </cell>
          <cell r="G54" t="str">
            <v>HOUSE NO-454 KAMATWADA NASHIK (MH)</v>
          </cell>
          <cell r="H54" t="str">
            <v>29.03.1999</v>
          </cell>
          <cell r="I54" t="str">
            <v>09.02.2024</v>
          </cell>
        </row>
        <row r="55">
          <cell r="C55" t="str">
            <v>BI92</v>
          </cell>
          <cell r="D55" t="str">
            <v>PRAVIN NARAYAN GIRASE</v>
          </cell>
          <cell r="E55" t="str">
            <v>NARAYAN GIRASE</v>
          </cell>
          <cell r="F55" t="str">
            <v>Male</v>
          </cell>
          <cell r="G55" t="str">
            <v>MU POST-SHANIMANDAL NANDURBAR (MH)</v>
          </cell>
          <cell r="H55" t="str">
            <v>14.02.1998</v>
          </cell>
          <cell r="I55" t="str">
            <v>09.02.2024</v>
          </cell>
        </row>
        <row r="56">
          <cell r="C56" t="str">
            <v>BI93</v>
          </cell>
          <cell r="D56" t="str">
            <v>HEMANT DILIP GIRASE</v>
          </cell>
          <cell r="E56" t="str">
            <v>DILIP GIRASE</v>
          </cell>
          <cell r="F56" t="str">
            <v>Male</v>
          </cell>
          <cell r="G56" t="str">
            <v>POST DIVI SINDKHEDE DHULE (MH)</v>
          </cell>
          <cell r="H56" t="str">
            <v>20.11.1996</v>
          </cell>
          <cell r="I56" t="str">
            <v>09.02.2024</v>
          </cell>
        </row>
        <row r="57">
          <cell r="C57" t="str">
            <v>BI99</v>
          </cell>
          <cell r="D57" t="str">
            <v>KALPESH SANJAY PATIL</v>
          </cell>
          <cell r="E57" t="str">
            <v>SANJAY PATIL</v>
          </cell>
          <cell r="F57" t="str">
            <v>Male</v>
          </cell>
          <cell r="G57" t="str">
            <v>TALWADE BK KHARDE NANDURBAR (MH)</v>
          </cell>
          <cell r="H57" t="str">
            <v>15.06.2003</v>
          </cell>
          <cell r="I57" t="str">
            <v>09.02.2024</v>
          </cell>
        </row>
        <row r="58">
          <cell r="C58" t="str">
            <v>BI100</v>
          </cell>
          <cell r="D58" t="str">
            <v>DINESH GULAB PAWAR</v>
          </cell>
          <cell r="E58" t="str">
            <v>GULAB PAWAR</v>
          </cell>
          <cell r="F58" t="str">
            <v>Male</v>
          </cell>
          <cell r="G58" t="str">
            <v>AT-VISPUDE POST-DHANER TH-SAKRI DHULE (MH)</v>
          </cell>
          <cell r="H58" t="str">
            <v>03.05.2000</v>
          </cell>
          <cell r="I58" t="str">
            <v>09.02.2024</v>
          </cell>
        </row>
        <row r="59">
          <cell r="C59" t="str">
            <v>BI108</v>
          </cell>
          <cell r="D59" t="str">
            <v>SACHIN DADAJI SURYAWANSHI</v>
          </cell>
          <cell r="E59" t="str">
            <v>DADAJI SURYAWANSHI</v>
          </cell>
          <cell r="F59" t="str">
            <v>MALE</v>
          </cell>
          <cell r="G59" t="str">
            <v>SWAMI VEVEKANAND CHAUK JALLANE DHULE (MH)</v>
          </cell>
          <cell r="H59" t="str">
            <v>09.02.1999</v>
          </cell>
          <cell r="I59" t="str">
            <v>28.06.2024</v>
          </cell>
        </row>
        <row r="60">
          <cell r="C60" t="str">
            <v>BI110</v>
          </cell>
          <cell r="D60" t="str">
            <v>SHAILESH SAMBHAJI CHITTE</v>
          </cell>
          <cell r="E60" t="str">
            <v>SAMBHAJI CHITTE</v>
          </cell>
          <cell r="F60" t="str">
            <v>MALE</v>
          </cell>
          <cell r="G60" t="str">
            <v>VADADE TAVKHEDA SINDKHEDA DHULE (MH)</v>
          </cell>
          <cell r="H60" t="str">
            <v>10.05.1998</v>
          </cell>
          <cell r="I60" t="str">
            <v>28.06.2024</v>
          </cell>
        </row>
        <row r="61">
          <cell r="C61" t="str">
            <v>BI122</v>
          </cell>
          <cell r="D61" t="str">
            <v>SUBHASH HIRAMAN JAGTAP</v>
          </cell>
          <cell r="E61" t="str">
            <v>HIRAMAN JAGTAP</v>
          </cell>
          <cell r="F61" t="str">
            <v>MALE</v>
          </cell>
          <cell r="G61" t="str">
            <v>AT-PACHALE, PO CHANDVEL SAKRI DHULE (MH)</v>
          </cell>
          <cell r="H61" t="str">
            <v>20.01.1993</v>
          </cell>
          <cell r="I61" t="str">
            <v>28.06.2024</v>
          </cell>
        </row>
        <row r="62">
          <cell r="C62" t="str">
            <v>BI138</v>
          </cell>
          <cell r="D62" t="str">
            <v>SAMADHAN PRAKASH KAPADE</v>
          </cell>
          <cell r="E62" t="str">
            <v>PRAKASH KAPADE</v>
          </cell>
          <cell r="F62" t="str">
            <v>MALE</v>
          </cell>
          <cell r="G62" t="str">
            <v>TALWADE KHURD SHANIMANDAL TAL DIST NANDURBAR</v>
          </cell>
          <cell r="H62" t="str">
            <v>14.11.2002</v>
          </cell>
          <cell r="I62" t="str">
            <v>28.06.2024</v>
          </cell>
        </row>
        <row r="63">
          <cell r="C63" t="str">
            <v>BI142</v>
          </cell>
          <cell r="D63" t="str">
            <v>RAJESH DINESH GHUGE</v>
          </cell>
          <cell r="E63" t="str">
            <v>DINESH GHUGE</v>
          </cell>
          <cell r="F63" t="str">
            <v>MALE</v>
          </cell>
          <cell r="G63" t="str">
            <v>MU POST-SHANIMANDAL NANDURBAR (MH)</v>
          </cell>
          <cell r="H63" t="str">
            <v>12.08.2003</v>
          </cell>
          <cell r="I63" t="str">
            <v>28.06.2024</v>
          </cell>
        </row>
        <row r="64">
          <cell r="C64" t="str">
            <v>BI143</v>
          </cell>
          <cell r="D64" t="str">
            <v>JAYASHRI BHIMRAO KUWAR</v>
          </cell>
          <cell r="E64" t="str">
            <v>BHIMRAO PAWAR</v>
          </cell>
          <cell r="F64" t="str">
            <v>Female</v>
          </cell>
          <cell r="G64" t="str">
            <v>VASKEDI TAL SAKRI</v>
          </cell>
          <cell r="H64" t="str">
            <v>05.07.1994</v>
          </cell>
          <cell r="I64" t="str">
            <v>28.06.2024</v>
          </cell>
        </row>
        <row r="65">
          <cell r="C65" t="str">
            <v>BI145</v>
          </cell>
          <cell r="D65" t="str">
            <v>PRAVIN RAM PAWAR</v>
          </cell>
          <cell r="E65" t="str">
            <v>RAM PAWAR</v>
          </cell>
          <cell r="F65" t="str">
            <v>MALE</v>
          </cell>
          <cell r="G65" t="str">
            <v>DOMBI SHHADWEL KARDE SAKRI DHULE (MH)</v>
          </cell>
          <cell r="H65" t="str">
            <v>12.09.2001</v>
          </cell>
          <cell r="I65" t="str">
            <v>28.06.2024</v>
          </cell>
        </row>
        <row r="66">
          <cell r="C66" t="str">
            <v>BI147</v>
          </cell>
          <cell r="D66" t="str">
            <v>KHANDU RAMDAS THAKARE</v>
          </cell>
          <cell r="E66" t="str">
            <v>RAMDAS THAKARE</v>
          </cell>
          <cell r="F66" t="str">
            <v>MALE</v>
          </cell>
          <cell r="G66" t="str">
            <v>CHHADWEL (KORDE) SAKRI DHULE</v>
          </cell>
          <cell r="H66" t="str">
            <v>04.08.2025</v>
          </cell>
          <cell r="I66" t="str">
            <v>28.06.2024</v>
          </cell>
        </row>
        <row r="67">
          <cell r="C67" t="str">
            <v>BI149</v>
          </cell>
          <cell r="D67" t="str">
            <v>VIJAY LOTAN SONAWANE</v>
          </cell>
          <cell r="E67" t="str">
            <v>LOTAN SONAWANE</v>
          </cell>
          <cell r="F67" t="str">
            <v>MALE</v>
          </cell>
          <cell r="G67" t="str">
            <v>BHAMER SAKRI DHULE (MH)</v>
          </cell>
          <cell r="H67" t="str">
            <v>21.11.1998</v>
          </cell>
          <cell r="I67" t="str">
            <v>28.06.2024</v>
          </cell>
        </row>
        <row r="68">
          <cell r="C68" t="str">
            <v>BI151</v>
          </cell>
          <cell r="D68" t="str">
            <v xml:space="preserve">SAGAR KISHOR THAKARE </v>
          </cell>
          <cell r="E68" t="str">
            <v>KISHOR THAKARE</v>
          </cell>
          <cell r="F68" t="str">
            <v>MALE</v>
          </cell>
          <cell r="G68" t="str">
            <v>SHANIMANDAL</v>
          </cell>
          <cell r="H68" t="str">
            <v>01.04.2003</v>
          </cell>
          <cell r="I68" t="str">
            <v>14.11.2024</v>
          </cell>
        </row>
        <row r="69">
          <cell r="C69" t="str">
            <v>BI153</v>
          </cell>
          <cell r="D69" t="str">
            <v xml:space="preserve">ROHIT DAGA MORE </v>
          </cell>
          <cell r="E69" t="str">
            <v>DAGA MORE</v>
          </cell>
          <cell r="F69" t="str">
            <v>MALE</v>
          </cell>
          <cell r="G69" t="str">
            <v xml:space="preserve">Titane </v>
          </cell>
          <cell r="H69" t="str">
            <v>07.11.2004</v>
          </cell>
          <cell r="I69" t="str">
            <v>14.11.2024</v>
          </cell>
        </row>
        <row r="70">
          <cell r="C70" t="str">
            <v>BI156</v>
          </cell>
          <cell r="D70" t="str">
            <v>DIPAK UTTAM GAVIT</v>
          </cell>
          <cell r="E70" t="str">
            <v>UTTAM GAVIT</v>
          </cell>
          <cell r="F70" t="str">
            <v>MALE</v>
          </cell>
          <cell r="G70" t="str">
            <v xml:space="preserve">Chipalipada </v>
          </cell>
          <cell r="H70" t="str">
            <v>14.04.1997</v>
          </cell>
          <cell r="I70" t="str">
            <v>14.11.2024</v>
          </cell>
        </row>
        <row r="71">
          <cell r="C71" t="str">
            <v>BI157</v>
          </cell>
          <cell r="D71" t="str">
            <v>RAHUL VIJAY DEORE</v>
          </cell>
          <cell r="E71" t="str">
            <v>VIJAY DEORE</v>
          </cell>
          <cell r="F71" t="str">
            <v>MALE</v>
          </cell>
          <cell r="G71" t="str">
            <v xml:space="preserve">Titane </v>
          </cell>
          <cell r="H71" t="str">
            <v>04.11.2024</v>
          </cell>
          <cell r="I71" t="str">
            <v>14.11.2024</v>
          </cell>
        </row>
        <row r="72">
          <cell r="C72" t="str">
            <v>BI159</v>
          </cell>
          <cell r="D72" t="str">
            <v>ISHWAR RAMESH MORE</v>
          </cell>
          <cell r="E72" t="str">
            <v>RAMESH MORE</v>
          </cell>
          <cell r="F72" t="str">
            <v>MALE</v>
          </cell>
          <cell r="G72" t="str">
            <v>AMKHEL</v>
          </cell>
          <cell r="H72" t="str">
            <v>31.12.1997</v>
          </cell>
          <cell r="I72" t="str">
            <v>14.11.2024</v>
          </cell>
        </row>
        <row r="73">
          <cell r="C73" t="str">
            <v>BI165</v>
          </cell>
          <cell r="D73" t="str">
            <v>PRAVIN RAMRAO VENDAIT</v>
          </cell>
          <cell r="E73" t="str">
            <v>RAMRAO VENDAIT</v>
          </cell>
          <cell r="F73" t="str">
            <v>MALE</v>
          </cell>
          <cell r="G73" t="str">
            <v>Chhadwel Tal Sakri</v>
          </cell>
          <cell r="H73" t="str">
            <v>11.06.1988</v>
          </cell>
          <cell r="I73" t="str">
            <v>14.11.2024</v>
          </cell>
        </row>
        <row r="74">
          <cell r="C74" t="str">
            <v>BI166</v>
          </cell>
          <cell r="D74" t="str">
            <v xml:space="preserve">AKSHAY SACHIN KALE </v>
          </cell>
          <cell r="E74" t="str">
            <v>SACHIN KALE</v>
          </cell>
          <cell r="F74" t="str">
            <v>Male</v>
          </cell>
          <cell r="G74" t="str">
            <v>ASGTE NANDURBAR,Dist:Nandurbar,Maharashtra,425412</v>
          </cell>
          <cell r="H74" t="str">
            <v>30.01.2004</v>
          </cell>
          <cell r="I74" t="str">
            <v>20.11.2024</v>
          </cell>
        </row>
        <row r="75">
          <cell r="C75" t="str">
            <v>BI168</v>
          </cell>
          <cell r="D75" t="str">
            <v>DEVENDRA MURLIDHAR PAWAR</v>
          </cell>
          <cell r="E75" t="str">
            <v>MURLIDHAR PAWAR</v>
          </cell>
          <cell r="F75" t="str">
            <v>Male</v>
          </cell>
          <cell r="G75" t="str">
            <v>AT MAVJIPADA POST-SAWAPADA DHULE,Dist:Dhule,Maharashtra,424304</v>
          </cell>
          <cell r="H75" t="str">
            <v>30.09.1992</v>
          </cell>
          <cell r="I75" t="str">
            <v>25.11.2024</v>
          </cell>
        </row>
        <row r="76">
          <cell r="C76" t="str">
            <v>BI169</v>
          </cell>
          <cell r="D76" t="str">
            <v>AKASHDIP SUBHASH CHAURE</v>
          </cell>
          <cell r="E76" t="str">
            <v>SUBHASH CHAURE</v>
          </cell>
          <cell r="F76" t="str">
            <v>Male</v>
          </cell>
          <cell r="G76" t="str">
            <v>MU PO SUTARE NANDURBAR,Dist:Nandurbar,Maharashtra,425412</v>
          </cell>
          <cell r="H76" t="str">
            <v>13.10.1995</v>
          </cell>
          <cell r="I76" t="str">
            <v>18.11.2024</v>
          </cell>
        </row>
        <row r="77">
          <cell r="C77" t="str">
            <v>BI170</v>
          </cell>
          <cell r="D77" t="str">
            <v>RAJENDRA DHARMA NYAHALDE</v>
          </cell>
          <cell r="E77" t="str">
            <v>DHARMA NYAHAIDE</v>
          </cell>
          <cell r="F77" t="str">
            <v>Male</v>
          </cell>
          <cell r="G77" t="str">
            <v>DHNGAR VADA SAKRI JAITANE NIZAMPUR SAKRI DHULE,Dist:Dhule,Maharashtra,424305</v>
          </cell>
          <cell r="H77" t="str">
            <v>28.12.1998</v>
          </cell>
          <cell r="I77" t="str">
            <v>25.11.2024</v>
          </cell>
        </row>
        <row r="78">
          <cell r="C78" t="str">
            <v>BI172</v>
          </cell>
          <cell r="D78" t="str">
            <v>GANGURDE BHARAT BABULAL</v>
          </cell>
          <cell r="E78" t="str">
            <v>GANGURDE BABULAL</v>
          </cell>
          <cell r="F78" t="str">
            <v>Male</v>
          </cell>
          <cell r="G78" t="str">
            <v>GHOGALGAV ASHTE NANDURBAR,Dist:Nandurbar,Maharashtra,425412</v>
          </cell>
          <cell r="H78" t="str">
            <v>22.01.1992</v>
          </cell>
          <cell r="I78" t="str">
            <v>21.11.2024</v>
          </cell>
        </row>
        <row r="79">
          <cell r="C79" t="str">
            <v>BI173</v>
          </cell>
          <cell r="D79" t="str">
            <v>BHUSHAN RAVINDRA DHOBI</v>
          </cell>
          <cell r="E79" t="str">
            <v>RAVINDRA DHOBI</v>
          </cell>
          <cell r="F79" t="str">
            <v>Male</v>
          </cell>
          <cell r="G79" t="str">
            <v>MU TALWADE KHURD PO-SHANIMANDAL NANDURBAR,Dist:Nandurbar,Maharashtra,425408</v>
          </cell>
          <cell r="H79" t="str">
            <v>13.07.2003</v>
          </cell>
          <cell r="I79" t="str">
            <v>18.11.2024</v>
          </cell>
        </row>
        <row r="80">
          <cell r="C80" t="str">
            <v>BI175</v>
          </cell>
          <cell r="D80" t="str">
            <v>KUNAL VIJAY PATIL</v>
          </cell>
          <cell r="E80" t="str">
            <v>VIJAY DADAJI PATIL</v>
          </cell>
          <cell r="F80" t="str">
            <v>Male</v>
          </cell>
          <cell r="G80" t="str">
            <v>SANT SAVATA CHAUK, AT PO-KHUDANE, TAL-SAKRI,Dist:Dhule,Maharashtra,424305</v>
          </cell>
          <cell r="H80" t="str">
            <v>17.10.2003</v>
          </cell>
          <cell r="I80">
            <v>45614</v>
          </cell>
        </row>
        <row r="81">
          <cell r="C81" t="str">
            <v>BI176</v>
          </cell>
          <cell r="D81" t="str">
            <v>JIVAN RAJENDRA GAVALE</v>
          </cell>
          <cell r="E81" t="str">
            <v>RAJENDRA GAVALE</v>
          </cell>
          <cell r="F81" t="str">
            <v>Male</v>
          </cell>
          <cell r="G81" t="str">
            <v>BAHIRAM CHAUK NIJAMPUE DHULE,Dist:Dhule,Maharashtra,424305</v>
          </cell>
          <cell r="H81" t="str">
            <v>16.09.2002</v>
          </cell>
          <cell r="I81">
            <v>45619</v>
          </cell>
        </row>
        <row r="82">
          <cell r="C82" t="str">
            <v>BI180</v>
          </cell>
          <cell r="D82" t="str">
            <v>NILESH MADHAVRAO PATIL</v>
          </cell>
          <cell r="E82" t="str">
            <v>MADHAVRAO PATIL</v>
          </cell>
          <cell r="F82" t="str">
            <v>Male</v>
          </cell>
          <cell r="G82" t="str">
            <v>AT TALWADE PO KHAARDEKHURDE TA NANDURBAR,TALWADE BK,Dist:Nandurbar,Maharashtra,425408</v>
          </cell>
          <cell r="H82" t="str">
            <v>21.04.1999</v>
          </cell>
          <cell r="I82">
            <v>45625</v>
          </cell>
        </row>
        <row r="83">
          <cell r="C83" t="str">
            <v>BI181</v>
          </cell>
          <cell r="D83" t="str">
            <v>DINESH SAMBHU JADHAV</v>
          </cell>
          <cell r="E83" t="str">
            <v>SAMBHU JADHAV</v>
          </cell>
          <cell r="F83" t="str">
            <v>Male</v>
          </cell>
          <cell r="G83" t="str">
            <v>SWAMI VIVEKANAND CHAUK JAITANE NIZAMPUR DHULE,Dist:Dhule,Maharashtra,424305</v>
          </cell>
          <cell r="H83" t="str">
            <v>25.01.2004</v>
          </cell>
          <cell r="I83">
            <v>45614</v>
          </cell>
        </row>
        <row r="84">
          <cell r="C84" t="str">
            <v>BI183</v>
          </cell>
          <cell r="D84" t="str">
            <v>DIPAK BHAIDAS SURYAWANSHI</v>
          </cell>
          <cell r="E84" t="str">
            <v>BHAIDAS SURYAWANSHI</v>
          </cell>
          <cell r="F84" t="str">
            <v>Male</v>
          </cell>
          <cell r="G84" t="str">
            <v>VASKHEDI DHULE,Dist:Dhule,Maharashtra,424305</v>
          </cell>
          <cell r="H84" t="str">
            <v>14.01.1997</v>
          </cell>
          <cell r="I84">
            <v>45616</v>
          </cell>
        </row>
        <row r="85">
          <cell r="C85" t="str">
            <v>BI187</v>
          </cell>
          <cell r="D85" t="str">
            <v>AISHWARYA HASMAL SONAWNE</v>
          </cell>
          <cell r="E85" t="str">
            <v>HASMADH SONAWANE</v>
          </cell>
          <cell r="F85" t="str">
            <v>Female</v>
          </cell>
          <cell r="G85" t="str">
            <v>MAKRANIFALI ROAD, MSEB JAVAL SANJAYNAGAR,Dist:Nandurbar,Maharashtra,425415</v>
          </cell>
          <cell r="H85" t="str">
            <v>27.08.1998</v>
          </cell>
          <cell r="I85" t="str">
            <v>28.12.2024</v>
          </cell>
        </row>
        <row r="86">
          <cell r="C86" t="str">
            <v>BI188</v>
          </cell>
          <cell r="D86" t="str">
            <v>LAXMI GANESH JAGTAP</v>
          </cell>
          <cell r="E86" t="str">
            <v>GANESH JAGTAP</v>
          </cell>
          <cell r="F86" t="str">
            <v>Male</v>
          </cell>
          <cell r="G86" t="str">
            <v>AT-PACHAL, PO-CHHADWEL KORDE, CHADVEL, SAKRI, DHULE MH-424305</v>
          </cell>
          <cell r="H86" t="str">
            <v>22.12.2000</v>
          </cell>
          <cell r="I86" t="str">
            <v>14.01.2025</v>
          </cell>
        </row>
        <row r="87">
          <cell r="C87" t="str">
            <v>BI192</v>
          </cell>
          <cell r="D87" t="str">
            <v>PUSHKAR NANDU DEORE</v>
          </cell>
          <cell r="E87" t="str">
            <v>NANDU DEORE</v>
          </cell>
          <cell r="F87" t="str">
            <v>Male</v>
          </cell>
          <cell r="G87" t="str">
            <v>VTC. INDAWE PO-DNDAVE SAKRI DHULE,Dist:Dhule,Maharashtra,424408</v>
          </cell>
          <cell r="H87" t="str">
            <v>10.06.2002</v>
          </cell>
          <cell r="I87" t="str">
            <v>05.02.2025</v>
          </cell>
        </row>
        <row r="88">
          <cell r="C88" t="str">
            <v>BI197</v>
          </cell>
          <cell r="D88" t="str">
            <v>RAJ VIKRAM KAPDE</v>
          </cell>
          <cell r="E88" t="str">
            <v>VIKRAM KAPADE</v>
          </cell>
          <cell r="F88" t="str">
            <v>Male</v>
          </cell>
          <cell r="G88" t="str">
            <v>VTC-AKHADE,SAKRI, DHULE</v>
          </cell>
          <cell r="H88" t="str">
            <v>26.06.2000</v>
          </cell>
          <cell r="I88" t="str">
            <v>18.02.2025</v>
          </cell>
        </row>
        <row r="89">
          <cell r="C89" t="str">
            <v>BI202</v>
          </cell>
          <cell r="D89" t="str">
            <v>BHARATIYA TANAJI SHEVALE</v>
          </cell>
          <cell r="E89" t="str">
            <v>TANAJI SHEWALE</v>
          </cell>
          <cell r="F89" t="str">
            <v>Male</v>
          </cell>
          <cell r="G89" t="str">
            <v>Perajpur Dhule Maharashtra</v>
          </cell>
          <cell r="H89" t="str">
            <v>05.01.1997</v>
          </cell>
          <cell r="I89" t="str">
            <v>04.03.2025</v>
          </cell>
        </row>
        <row r="90">
          <cell r="C90" t="str">
            <v>BI199</v>
          </cell>
          <cell r="D90" t="str">
            <v>CHETAN N GIRASE</v>
          </cell>
          <cell r="E90" t="str">
            <v>NIMBA GIRASE</v>
          </cell>
          <cell r="F90" t="str">
            <v>MALE</v>
          </cell>
          <cell r="G90" t="str">
            <v>Shanimandal Tal Nandurbar</v>
          </cell>
          <cell r="H90" t="str">
            <v>03.01.1997</v>
          </cell>
          <cell r="I90" t="str">
            <v>04.03.2025</v>
          </cell>
        </row>
        <row r="91">
          <cell r="C91" t="str">
            <v>BI201</v>
          </cell>
          <cell r="D91" t="str">
            <v>KRUSHANA S PAWAR</v>
          </cell>
          <cell r="E91" t="str">
            <v>SAHEBRAO PAWAR</v>
          </cell>
          <cell r="F91" t="str">
            <v>MALE</v>
          </cell>
          <cell r="G91" t="str">
            <v>Ranale Tal Nandurbar</v>
          </cell>
          <cell r="H91" t="str">
            <v>02.06.1989</v>
          </cell>
          <cell r="I91" t="str">
            <v>04.03.2025</v>
          </cell>
        </row>
        <row r="92">
          <cell r="C92" t="str">
            <v>BI203</v>
          </cell>
          <cell r="D92" t="str">
            <v>AMOL V KHAIRNAR</v>
          </cell>
          <cell r="E92" t="str">
            <v>VILAS KHAIRNAR</v>
          </cell>
          <cell r="F92" t="str">
            <v>MALE</v>
          </cell>
          <cell r="G92" t="str">
            <v>Kasare Tal Sakri</v>
          </cell>
          <cell r="H92" t="str">
            <v>12.02.1990</v>
          </cell>
          <cell r="I92" t="str">
            <v>04.03.2025</v>
          </cell>
        </row>
        <row r="93">
          <cell r="C93" t="str">
            <v>BI204</v>
          </cell>
          <cell r="D93" t="str">
            <v>KALPESH GIRASE</v>
          </cell>
          <cell r="E93" t="str">
            <v>DILIP GIRASE</v>
          </cell>
          <cell r="F93" t="str">
            <v>Male</v>
          </cell>
          <cell r="G93" t="str">
            <v>Shanimandal Tal Nandurbar</v>
          </cell>
          <cell r="H93" t="str">
            <v>20.08.2005</v>
          </cell>
          <cell r="I93" t="str">
            <v>18.04.2025</v>
          </cell>
        </row>
        <row r="94">
          <cell r="C94" t="str">
            <v>BI205</v>
          </cell>
          <cell r="D94" t="str">
            <v>DEVENDRA GIRASE</v>
          </cell>
          <cell r="E94" t="str">
            <v>DILIP GIRASE</v>
          </cell>
          <cell r="F94" t="str">
            <v>MALE</v>
          </cell>
          <cell r="G94" t="str">
            <v>Shanimandal Tal Nandurbar</v>
          </cell>
          <cell r="H94" t="str">
            <v>22.11.2000</v>
          </cell>
          <cell r="I94" t="str">
            <v>18.04.2025</v>
          </cell>
        </row>
        <row r="95">
          <cell r="C95" t="str">
            <v>BI206</v>
          </cell>
          <cell r="D95" t="str">
            <v>VINOD DEVIDAS PATIL</v>
          </cell>
          <cell r="E95" t="str">
            <v>DEVIDAS PATIL</v>
          </cell>
          <cell r="F95" t="str">
            <v>MALE</v>
          </cell>
          <cell r="G95" t="str">
            <v>GURUKUL NAGAR NO 2 T HAVELI NANDURBAR</v>
          </cell>
          <cell r="H95" t="str">
            <v>01.06.1976</v>
          </cell>
          <cell r="I95" t="str">
            <v>20.04.2025</v>
          </cell>
        </row>
        <row r="96">
          <cell r="C96" t="str">
            <v>BI207</v>
          </cell>
          <cell r="D96" t="str">
            <v>VILAS RAMESH MORE</v>
          </cell>
          <cell r="E96" t="str">
            <v>RAMESH MORE</v>
          </cell>
          <cell r="F96" t="str">
            <v>MALE</v>
          </cell>
          <cell r="G96" t="str">
            <v>AT POST AMKHELA TAL SAKRI DHULR MAHARASHTRA</v>
          </cell>
          <cell r="H96" t="str">
            <v>20.03.1995</v>
          </cell>
          <cell r="I96" t="str">
            <v>15.05.2025</v>
          </cell>
        </row>
        <row r="97">
          <cell r="C97" t="str">
            <v>BI208</v>
          </cell>
          <cell r="D97" t="str">
            <v>DHANRAJ PRAKASH DEORE</v>
          </cell>
          <cell r="E97" t="str">
            <v>PRAKASH DEORE</v>
          </cell>
          <cell r="F97" t="str">
            <v>MALE</v>
          </cell>
          <cell r="G97" t="str">
            <v>TITANE DHULE MAHARASHTRA</v>
          </cell>
          <cell r="H97" t="str">
            <v>23.10.2003</v>
          </cell>
          <cell r="I97" t="str">
            <v>15.05.2025</v>
          </cell>
        </row>
        <row r="98">
          <cell r="C98" t="str">
            <v>BI209</v>
          </cell>
          <cell r="D98" t="str">
            <v>LAKHESING UDESING RAJPUT</v>
          </cell>
          <cell r="E98" t="str">
            <v>UDESING RAJPUR</v>
          </cell>
          <cell r="F98" t="str">
            <v>MALE</v>
          </cell>
          <cell r="G98" t="str">
            <v>Shanimandal Tal Nandurbar</v>
          </cell>
          <cell r="H98" t="str">
            <v>19.10.2002</v>
          </cell>
          <cell r="I98" t="str">
            <v>15.05.2025</v>
          </cell>
        </row>
        <row r="99">
          <cell r="C99" t="str">
            <v>BI210</v>
          </cell>
          <cell r="D99" t="str">
            <v>VISNU NIMBA BRAMHANE</v>
          </cell>
          <cell r="E99" t="str">
            <v>NIMBA BRAMHANE</v>
          </cell>
          <cell r="F99" t="str">
            <v>MALE</v>
          </cell>
          <cell r="G99" t="str">
            <v xml:space="preserve">KHORI TAL SAKRI, DHULE </v>
          </cell>
          <cell r="H99" t="str">
            <v>30.07.2000</v>
          </cell>
          <cell r="I99" t="str">
            <v>15.05.2025</v>
          </cell>
        </row>
        <row r="100">
          <cell r="C100" t="str">
            <v>BI211</v>
          </cell>
          <cell r="D100" t="str">
            <v>BHARAT SAHADU NIKUMBH</v>
          </cell>
          <cell r="E100" t="str">
            <v>SAHADU NIKUMBHA</v>
          </cell>
          <cell r="F100" t="str">
            <v>Male</v>
          </cell>
          <cell r="G100" t="str">
            <v>CHHADWAL KORE DHULE MAHARASHTRA</v>
          </cell>
          <cell r="H100" t="str">
            <v>22.11.1997</v>
          </cell>
          <cell r="I100" t="str">
            <v>15.05.2025</v>
          </cell>
        </row>
        <row r="101">
          <cell r="C101" t="str">
            <v>BI212</v>
          </cell>
          <cell r="D101" t="str">
            <v>RAMAKANT KALU AHIRE</v>
          </cell>
          <cell r="E101" t="str">
            <v>KALU AHIRE</v>
          </cell>
          <cell r="F101" t="str">
            <v>Male</v>
          </cell>
          <cell r="G101" t="str">
            <v>VALHAVE POST AMRHEL DHULE MAHARASHTRA</v>
          </cell>
          <cell r="H101" t="str">
            <v>4.04.1999</v>
          </cell>
          <cell r="I101" t="str">
            <v>15.05.2025</v>
          </cell>
        </row>
        <row r="102">
          <cell r="C102" t="str">
            <v>BI214</v>
          </cell>
          <cell r="D102" t="str">
            <v>GANESH JAGAN JAGTAP</v>
          </cell>
          <cell r="E102" t="str">
            <v>JAGAN JAGTAP</v>
          </cell>
          <cell r="F102" t="str">
            <v>Male</v>
          </cell>
          <cell r="G102" t="str">
            <v>CHADVEL DIS DAKRI , DHULE MAHARASHTRA 424305</v>
          </cell>
          <cell r="H102" t="str">
            <v>30.06.1993</v>
          </cell>
          <cell r="I102" t="str">
            <v>29.05.2025</v>
          </cell>
        </row>
        <row r="103">
          <cell r="C103" t="str">
            <v>BI216</v>
          </cell>
          <cell r="D103" t="str">
            <v>KARAN NIMBA AHIRE</v>
          </cell>
          <cell r="E103" t="str">
            <v>NIMBA AHIRE</v>
          </cell>
          <cell r="F103" t="str">
            <v>Male</v>
          </cell>
          <cell r="G103" t="str">
            <v>BODAKIKHADI TEL SAKRI DIS DHULE 424304</v>
          </cell>
          <cell r="H103" t="str">
            <v>17.05.200</v>
          </cell>
          <cell r="I103" t="str">
            <v>29.05.2025</v>
          </cell>
        </row>
        <row r="104">
          <cell r="C104" t="str">
            <v>BI217</v>
          </cell>
          <cell r="D104" t="str">
            <v>RAHUL TIKARAM JAGTAP</v>
          </cell>
          <cell r="E104" t="str">
            <v>TIKARAM JAGTAP</v>
          </cell>
          <cell r="F104" t="str">
            <v>Male</v>
          </cell>
          <cell r="G104" t="str">
            <v>BODAKIKHADI POST KHARADBARI TAL SAKRI DIS DHULE</v>
          </cell>
          <cell r="H104" t="str">
            <v>02.05.2002</v>
          </cell>
          <cell r="I104" t="str">
            <v>29.05.2025</v>
          </cell>
        </row>
        <row r="105">
          <cell r="C105" t="str">
            <v>BI219</v>
          </cell>
          <cell r="D105" t="str">
            <v>NILESH NIMBA MALI</v>
          </cell>
          <cell r="E105" t="str">
            <v>NIBHA MALI</v>
          </cell>
          <cell r="F105" t="str">
            <v>Male</v>
          </cell>
          <cell r="G105" t="str">
            <v>MU POST SHNIMANDAL NANDURBAR 425408</v>
          </cell>
          <cell r="H105" t="str">
            <v>11.07.1992</v>
          </cell>
          <cell r="I105" t="str">
            <v>29.05.2025</v>
          </cell>
        </row>
        <row r="106">
          <cell r="C106" t="str">
            <v>BI220</v>
          </cell>
          <cell r="D106" t="str">
            <v>SAMADHAN MOTILAL PAGARE</v>
          </cell>
          <cell r="E106" t="str">
            <v>MOTILAL PAGARE</v>
          </cell>
          <cell r="F106" t="str">
            <v>Male</v>
          </cell>
          <cell r="G106" t="str">
            <v>JAY MALHAR CHOK JAITANE DHULE 424305</v>
          </cell>
          <cell r="H106" t="str">
            <v>15.10.2003</v>
          </cell>
          <cell r="I106" t="str">
            <v>29.05.2025</v>
          </cell>
        </row>
        <row r="107">
          <cell r="C107" t="str">
            <v>BI221</v>
          </cell>
          <cell r="D107" t="str">
            <v>VILAS ASHOK CHAVAN</v>
          </cell>
          <cell r="E107" t="str">
            <v>ASHOK CHAVAN</v>
          </cell>
          <cell r="F107" t="str">
            <v>Male</v>
          </cell>
          <cell r="G107" t="str">
            <v>MANGAL BAZAR MARATHA GALLI NANDURBAR 425412</v>
          </cell>
          <cell r="H107" t="str">
            <v>18.09.1982</v>
          </cell>
          <cell r="I107" t="str">
            <v>15.06.2025</v>
          </cell>
        </row>
        <row r="108">
          <cell r="C108" t="str">
            <v>BI222</v>
          </cell>
          <cell r="D108" t="str">
            <v>GOPAL AMRUT MUJAGE</v>
          </cell>
          <cell r="E108"/>
          <cell r="F108"/>
          <cell r="G108"/>
          <cell r="H108"/>
          <cell r="I108"/>
        </row>
        <row r="109">
          <cell r="C109" t="str">
            <v>BI223</v>
          </cell>
          <cell r="D109" t="str">
            <v xml:space="preserve">VIKAS BHARAT BEDSE       </v>
          </cell>
          <cell r="E109"/>
          <cell r="F109"/>
          <cell r="G109"/>
          <cell r="H109"/>
          <cell r="I109"/>
        </row>
      </sheetData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3"/>
      <sheetName val="Sheet4"/>
    </sheetNames>
    <sheetDataSet>
      <sheetData sheetId="0"/>
      <sheetData sheetId="1">
        <row r="2">
          <cell r="C2" t="str">
            <v>YUVRAJ PARSHURAM BARDE</v>
          </cell>
          <cell r="D2" t="str">
            <v>Male</v>
          </cell>
          <cell r="E2">
            <v>9545153838</v>
          </cell>
          <cell r="F2">
            <v>33537870</v>
          </cell>
        </row>
        <row r="3">
          <cell r="C3" t="str">
            <v>YOGESH DIPAK GANGURDE</v>
          </cell>
          <cell r="D3" t="str">
            <v>Male</v>
          </cell>
          <cell r="E3">
            <v>8767113870</v>
          </cell>
          <cell r="F3">
            <v>33537867</v>
          </cell>
        </row>
        <row r="4">
          <cell r="C4" t="str">
            <v>SWAPNIL NANA HIRE</v>
          </cell>
          <cell r="D4" t="str">
            <v>Male</v>
          </cell>
          <cell r="E4">
            <v>7756942896</v>
          </cell>
          <cell r="F4">
            <v>35747072</v>
          </cell>
        </row>
        <row r="5">
          <cell r="C5" t="str">
            <v>SANJAY SHENPADU MALI</v>
          </cell>
          <cell r="D5" t="str">
            <v>Male</v>
          </cell>
          <cell r="E5">
            <v>8890908765</v>
          </cell>
          <cell r="F5">
            <v>30598566</v>
          </cell>
        </row>
        <row r="6">
          <cell r="C6" t="str">
            <v>SAMADHAN GOKUL KHAIRNAR</v>
          </cell>
          <cell r="D6" t="str">
            <v>Male</v>
          </cell>
          <cell r="E6">
            <v>8975805762</v>
          </cell>
          <cell r="F6">
            <v>35747068</v>
          </cell>
        </row>
        <row r="7">
          <cell r="C7" t="str">
            <v>SACHIN DADAJI SURYAWANSHI</v>
          </cell>
          <cell r="D7" t="str">
            <v>Male</v>
          </cell>
          <cell r="E7">
            <v>9476922820</v>
          </cell>
          <cell r="F7">
            <v>35747096</v>
          </cell>
        </row>
        <row r="8">
          <cell r="C8" t="str">
            <v>RAJENDRA VANJI BAGUL</v>
          </cell>
          <cell r="D8" t="str">
            <v>Male</v>
          </cell>
          <cell r="E8">
            <v>7741851960</v>
          </cell>
          <cell r="F8">
            <v>33537855</v>
          </cell>
        </row>
        <row r="9">
          <cell r="C9" t="str">
            <v>PRASHANT BAPU SONAWANE</v>
          </cell>
          <cell r="D9" t="str">
            <v>Male</v>
          </cell>
          <cell r="E9">
            <v>7038914671</v>
          </cell>
          <cell r="F9">
            <v>33537847</v>
          </cell>
        </row>
        <row r="10">
          <cell r="C10" t="str">
            <v>NITIN JAGDEV BORASE</v>
          </cell>
          <cell r="D10" t="str">
            <v>Male</v>
          </cell>
          <cell r="E10">
            <v>9022925163</v>
          </cell>
          <cell r="F10">
            <v>35747066</v>
          </cell>
        </row>
        <row r="11">
          <cell r="C11" t="str">
            <v>NILESH RAVSAHEB DAHITE</v>
          </cell>
          <cell r="D11" t="str">
            <v>Male</v>
          </cell>
          <cell r="E11">
            <v>9322351958</v>
          </cell>
          <cell r="F11">
            <v>33537844</v>
          </cell>
        </row>
        <row r="12">
          <cell r="C12" t="str">
            <v>NATTHU PURMAL VENDAITH</v>
          </cell>
          <cell r="D12" t="str">
            <v>Male</v>
          </cell>
          <cell r="E12">
            <v>8007973234</v>
          </cell>
          <cell r="F12">
            <v>30598570</v>
          </cell>
        </row>
        <row r="13">
          <cell r="C13" t="str">
            <v>NAMRATA SARDAR CHAURE</v>
          </cell>
          <cell r="D13" t="str">
            <v>Female</v>
          </cell>
          <cell r="E13">
            <v>7768939677</v>
          </cell>
          <cell r="F13">
            <v>35747082</v>
          </cell>
        </row>
        <row r="14">
          <cell r="C14" t="str">
            <v>MACHHINDRA CHANDRASING PADAVI</v>
          </cell>
          <cell r="D14" t="str">
            <v>Male</v>
          </cell>
          <cell r="E14">
            <v>9309379294</v>
          </cell>
          <cell r="F14">
            <v>35747062</v>
          </cell>
        </row>
        <row r="15">
          <cell r="C15" t="str">
            <v>KUNAL PRALHAD PATIL</v>
          </cell>
          <cell r="D15" t="str">
            <v>Male</v>
          </cell>
          <cell r="E15">
            <v>7020396444</v>
          </cell>
          <cell r="F15">
            <v>33537839</v>
          </cell>
        </row>
        <row r="16">
          <cell r="C16" t="str">
            <v>KALPESH SANJAY PATIL</v>
          </cell>
          <cell r="D16" t="str">
            <v>Male</v>
          </cell>
          <cell r="E16">
            <v>8390606661</v>
          </cell>
          <cell r="F16">
            <v>35747088</v>
          </cell>
        </row>
        <row r="17">
          <cell r="C17" t="str">
            <v>HEMANT DILIP GIRASE</v>
          </cell>
          <cell r="D17" t="str">
            <v>Male</v>
          </cell>
          <cell r="E17">
            <v>7020442309</v>
          </cell>
          <cell r="F17">
            <v>35747086</v>
          </cell>
        </row>
        <row r="18">
          <cell r="C18" t="str">
            <v>HARSHAL GULAB SHINDE</v>
          </cell>
          <cell r="D18" t="str">
            <v>Male</v>
          </cell>
          <cell r="E18">
            <v>8830927125</v>
          </cell>
          <cell r="F18">
            <v>35747069</v>
          </cell>
        </row>
        <row r="19">
          <cell r="C19" t="str">
            <v>DINESH GULAB PAWAR</v>
          </cell>
          <cell r="D19" t="str">
            <v>Male</v>
          </cell>
          <cell r="E19">
            <v>7499266490</v>
          </cell>
          <cell r="F19">
            <v>35747089</v>
          </cell>
        </row>
        <row r="20">
          <cell r="C20" t="str">
            <v>DILVARASING VEDUSING RAJPUT</v>
          </cell>
          <cell r="D20" t="str">
            <v>Male</v>
          </cell>
          <cell r="E20">
            <v>7507269385</v>
          </cell>
          <cell r="F20">
            <v>33537831</v>
          </cell>
        </row>
        <row r="21">
          <cell r="C21" t="str">
            <v>BHARAT SHARAD PAWAR</v>
          </cell>
          <cell r="D21" t="str">
            <v>Male</v>
          </cell>
          <cell r="E21">
            <v>8956635208</v>
          </cell>
          <cell r="F21">
            <v>35747052</v>
          </cell>
        </row>
        <row r="22">
          <cell r="C22" t="str">
            <v>BAYAJA RAVINDRA PIMPALE</v>
          </cell>
          <cell r="D22" t="str">
            <v>Male</v>
          </cell>
          <cell r="E22">
            <v>9970434258</v>
          </cell>
          <cell r="F22">
            <v>30598564</v>
          </cell>
        </row>
        <row r="23">
          <cell r="C23" t="str">
            <v>DHANRAJ YUVRAJ BACHHAV</v>
          </cell>
          <cell r="D23" t="str">
            <v>Male</v>
          </cell>
          <cell r="E23">
            <v>8767816705</v>
          </cell>
          <cell r="F23">
            <v>33537830</v>
          </cell>
        </row>
        <row r="24">
          <cell r="C24" t="str">
            <v>MANIK VEDU BACHHAV</v>
          </cell>
          <cell r="D24" t="str">
            <v>Male</v>
          </cell>
          <cell r="E24">
            <v>9359567213</v>
          </cell>
          <cell r="F24">
            <v>33537841</v>
          </cell>
        </row>
        <row r="25">
          <cell r="C25" t="str">
            <v>PREMKUMAR BHAUSAHEB BAGUL</v>
          </cell>
          <cell r="D25" t="str">
            <v>Male</v>
          </cell>
          <cell r="E25">
            <v>9527832964</v>
          </cell>
          <cell r="F25">
            <v>33537848</v>
          </cell>
        </row>
        <row r="26">
          <cell r="C26" t="str">
            <v>SUJIT RAJENDRA DEORE</v>
          </cell>
          <cell r="D26" t="str">
            <v>Male</v>
          </cell>
          <cell r="E26">
            <v>9673713891</v>
          </cell>
          <cell r="F26">
            <v>33537858</v>
          </cell>
        </row>
        <row r="27">
          <cell r="C27" t="str">
            <v>YOGESH SHARAD DEORE</v>
          </cell>
          <cell r="D27" t="str">
            <v>Male</v>
          </cell>
          <cell r="E27">
            <v>7499289247</v>
          </cell>
          <cell r="F27">
            <v>33537865</v>
          </cell>
        </row>
        <row r="28">
          <cell r="C28" t="str">
            <v>YOGESHKUMAR SURESHCHANDRA GAWALE</v>
          </cell>
          <cell r="D28" t="str">
            <v>Male</v>
          </cell>
          <cell r="E28">
            <v>8805104216</v>
          </cell>
          <cell r="F28">
            <v>33537869</v>
          </cell>
        </row>
        <row r="29">
          <cell r="C29" t="str">
            <v>UMESH SUBHASH PATIL</v>
          </cell>
          <cell r="D29" t="str">
            <v>Male</v>
          </cell>
          <cell r="E29">
            <v>9370469836</v>
          </cell>
          <cell r="F29">
            <v>33537863</v>
          </cell>
        </row>
        <row r="30">
          <cell r="C30" t="str">
            <v>SHANKAR LASHYA BAGUL</v>
          </cell>
          <cell r="D30" t="str">
            <v>Male</v>
          </cell>
          <cell r="E30">
            <v>9561331023</v>
          </cell>
          <cell r="F30">
            <v>33537859</v>
          </cell>
        </row>
        <row r="31">
          <cell r="C31" t="str">
            <v>SHAILESH CHUNILAL DEORE</v>
          </cell>
          <cell r="D31" t="str">
            <v>Male</v>
          </cell>
          <cell r="E31">
            <v>9834192628</v>
          </cell>
          <cell r="F31">
            <v>33537862</v>
          </cell>
        </row>
        <row r="32">
          <cell r="C32" t="str">
            <v>SANTOSH JANGYA DESAI</v>
          </cell>
          <cell r="D32" t="str">
            <v>Male</v>
          </cell>
          <cell r="E32">
            <v>9145561337</v>
          </cell>
          <cell r="F32">
            <v>30598552</v>
          </cell>
        </row>
        <row r="33">
          <cell r="C33" t="str">
            <v>SAMADHAN BALU PATIL</v>
          </cell>
          <cell r="D33" t="str">
            <v>Male</v>
          </cell>
          <cell r="E33">
            <v>9998322752</v>
          </cell>
          <cell r="F33">
            <v>33537860</v>
          </cell>
        </row>
        <row r="34">
          <cell r="C34" t="str">
            <v>ROHIT VILAS BEDSE</v>
          </cell>
          <cell r="D34" t="str">
            <v>Male</v>
          </cell>
          <cell r="E34">
            <v>7558302314</v>
          </cell>
          <cell r="F34">
            <v>33537856</v>
          </cell>
        </row>
        <row r="35">
          <cell r="C35" t="str">
            <v>PRAKASH RAVINDRA SHIRSATH</v>
          </cell>
          <cell r="D35" t="str">
            <v>Male</v>
          </cell>
          <cell r="E35">
            <v>9322552321</v>
          </cell>
          <cell r="F35">
            <v>30598575</v>
          </cell>
        </row>
        <row r="36">
          <cell r="C36" t="str">
            <v>MANOJ KAILAS AHIRE</v>
          </cell>
          <cell r="D36" t="str">
            <v>Male</v>
          </cell>
          <cell r="E36">
            <v>7751223202</v>
          </cell>
          <cell r="F36">
            <v>33537872</v>
          </cell>
        </row>
        <row r="37">
          <cell r="C37" t="str">
            <v>JAYWANT DHONDU BHADANE</v>
          </cell>
          <cell r="D37" t="str">
            <v>Male</v>
          </cell>
          <cell r="E37">
            <v>9657465326</v>
          </cell>
          <cell r="F37">
            <v>30598558</v>
          </cell>
        </row>
        <row r="38">
          <cell r="C38" t="str">
            <v>HIRALAL BRIJLAL KOKANI</v>
          </cell>
          <cell r="D38" t="str">
            <v>Male</v>
          </cell>
          <cell r="E38">
            <v>7507820235</v>
          </cell>
          <cell r="F38">
            <v>33537835</v>
          </cell>
        </row>
        <row r="39">
          <cell r="C39" t="str">
            <v>GURUDAS HILAL THAKARE</v>
          </cell>
          <cell r="D39" t="str">
            <v>Male</v>
          </cell>
          <cell r="E39">
            <v>9307381629</v>
          </cell>
          <cell r="F39">
            <v>33537834</v>
          </cell>
        </row>
        <row r="40">
          <cell r="C40" t="str">
            <v>DNYANESHWAR AANA BHAMARE</v>
          </cell>
          <cell r="D40" t="str">
            <v>Male</v>
          </cell>
          <cell r="E40">
            <v>8007801418</v>
          </cell>
          <cell r="F40">
            <v>30598555</v>
          </cell>
        </row>
        <row r="41">
          <cell r="C41" t="str">
            <v>DHANANJAY SHRIDHAR SONAWANE</v>
          </cell>
          <cell r="D41" t="str">
            <v>Male</v>
          </cell>
          <cell r="E41">
            <v>9970895928</v>
          </cell>
          <cell r="F41">
            <v>33537833</v>
          </cell>
        </row>
        <row r="42">
          <cell r="C42" t="str">
            <v>CHIRANTAN JAGDISH JADHAV</v>
          </cell>
          <cell r="D42" t="str">
            <v>Male</v>
          </cell>
          <cell r="E42">
            <v>7666203592</v>
          </cell>
          <cell r="F42">
            <v>30598574</v>
          </cell>
        </row>
        <row r="43">
          <cell r="C43" t="str">
            <v>BHUSHAN ANANDA GHODES</v>
          </cell>
          <cell r="D43" t="str">
            <v>Male</v>
          </cell>
          <cell r="E43">
            <v>7507815727</v>
          </cell>
          <cell r="F43">
            <v>33537828</v>
          </cell>
        </row>
        <row r="44">
          <cell r="C44" t="str">
            <v>BHATU RAMESH BORSE</v>
          </cell>
          <cell r="D44" t="str">
            <v>Male</v>
          </cell>
          <cell r="E44">
            <v>7499949042</v>
          </cell>
          <cell r="F44">
            <v>33537826</v>
          </cell>
        </row>
        <row r="45">
          <cell r="C45" t="str">
            <v>AMAR PRATAPSING RAJPUT</v>
          </cell>
          <cell r="D45" t="str">
            <v>Male</v>
          </cell>
          <cell r="E45">
            <v>8407912136</v>
          </cell>
          <cell r="F45">
            <v>33537823</v>
          </cell>
        </row>
        <row r="46">
          <cell r="C46" t="str">
            <v>FULA RAJARAM SONAWANE</v>
          </cell>
          <cell r="D46" t="str">
            <v>Male</v>
          </cell>
          <cell r="E46">
            <v>9960839059</v>
          </cell>
          <cell r="F46">
            <v>30598547</v>
          </cell>
        </row>
        <row r="47">
          <cell r="C47" t="str">
            <v>DNYANESHWAR GOKUL BORSE</v>
          </cell>
          <cell r="D47" t="str">
            <v>Male</v>
          </cell>
          <cell r="E47">
            <v>9637918781</v>
          </cell>
          <cell r="F47">
            <v>30598548</v>
          </cell>
        </row>
        <row r="48">
          <cell r="C48" t="str">
            <v>VISHAL DIPAK THORAT</v>
          </cell>
          <cell r="D48" t="str">
            <v>Male</v>
          </cell>
          <cell r="E48">
            <v>7020115788</v>
          </cell>
          <cell r="F48">
            <v>30598577</v>
          </cell>
        </row>
        <row r="49">
          <cell r="C49" t="str">
            <v>VINOD DAGA GUJAR</v>
          </cell>
          <cell r="D49" t="str">
            <v>Male</v>
          </cell>
          <cell r="E49">
            <v>9325792311</v>
          </cell>
          <cell r="F49">
            <v>30598572</v>
          </cell>
        </row>
        <row r="50">
          <cell r="C50" t="str">
            <v>PRAKASH SHANKAR PIMPALE</v>
          </cell>
          <cell r="D50" t="str">
            <v>Male</v>
          </cell>
          <cell r="E50">
            <v>8888789896</v>
          </cell>
          <cell r="F50">
            <v>30598557</v>
          </cell>
        </row>
        <row r="51">
          <cell r="C51" t="str">
            <v>KIRAN VEDU BEDSE</v>
          </cell>
          <cell r="D51" t="str">
            <v>Male</v>
          </cell>
          <cell r="E51">
            <v>9921416912</v>
          </cell>
          <cell r="F51">
            <v>30598560</v>
          </cell>
        </row>
        <row r="52">
          <cell r="C52" t="str">
            <v>SUNIL RAJU DEORE</v>
          </cell>
          <cell r="D52" t="str">
            <v>Male</v>
          </cell>
          <cell r="E52">
            <v>7768982704</v>
          </cell>
          <cell r="F52">
            <v>38073553</v>
          </cell>
        </row>
        <row r="53">
          <cell r="C53" t="str">
            <v>SAMADHAN PRAKASH KAPADE</v>
          </cell>
          <cell r="D53" t="str">
            <v>Male</v>
          </cell>
          <cell r="E53">
            <v>7499132716</v>
          </cell>
          <cell r="F53">
            <v>38073556</v>
          </cell>
        </row>
        <row r="54">
          <cell r="C54" t="str">
            <v>RAJESH DINESH GHUGE</v>
          </cell>
          <cell r="D54" t="str">
            <v>Male</v>
          </cell>
          <cell r="E54">
            <v>8265008651</v>
          </cell>
          <cell r="F54">
            <v>38073558</v>
          </cell>
        </row>
        <row r="55">
          <cell r="C55" t="str">
            <v>JAYASHRI BHIMRAO PAWAR</v>
          </cell>
          <cell r="D55" t="str">
            <v>Female</v>
          </cell>
          <cell r="E55">
            <v>9049914878</v>
          </cell>
          <cell r="F55">
            <v>38073559</v>
          </cell>
        </row>
        <row r="56">
          <cell r="C56" t="str">
            <v>PRAVIN RAM PAWAR</v>
          </cell>
          <cell r="D56" t="str">
            <v>Male</v>
          </cell>
          <cell r="E56">
            <v>8329216865</v>
          </cell>
          <cell r="F56">
            <v>38073560</v>
          </cell>
        </row>
        <row r="57">
          <cell r="C57" t="str">
            <v>KHANDU THAKARE</v>
          </cell>
          <cell r="D57" t="str">
            <v>Male</v>
          </cell>
          <cell r="E57">
            <v>7709510572</v>
          </cell>
          <cell r="F57">
            <v>38073561</v>
          </cell>
        </row>
        <row r="58">
          <cell r="C58" t="str">
            <v>DIPAK UTTAM GAVIT</v>
          </cell>
          <cell r="D58" t="str">
            <v>Male</v>
          </cell>
          <cell r="E58">
            <v>8830013569</v>
          </cell>
          <cell r="F58">
            <v>38073569</v>
          </cell>
        </row>
        <row r="59">
          <cell r="C59" t="str">
            <v>AKASHDIP SUBASH CHORE</v>
          </cell>
          <cell r="D59" t="str">
            <v>Male</v>
          </cell>
          <cell r="E59">
            <v>7350862025</v>
          </cell>
          <cell r="F59">
            <v>38073582</v>
          </cell>
        </row>
        <row r="60">
          <cell r="C60" t="str">
            <v>BHARAT BABULAL GANGURDE</v>
          </cell>
          <cell r="D60" t="str">
            <v>Male</v>
          </cell>
          <cell r="E60">
            <v>9545902956</v>
          </cell>
          <cell r="F60">
            <v>38073585</v>
          </cell>
        </row>
        <row r="61">
          <cell r="C61" t="str">
            <v>DHANANJAY RAJENDRA GAWALE</v>
          </cell>
          <cell r="D61" t="str">
            <v>Male</v>
          </cell>
          <cell r="E61">
            <v>9865656162</v>
          </cell>
          <cell r="F61">
            <v>38073592</v>
          </cell>
        </row>
        <row r="62">
          <cell r="C62" t="str">
            <v>DINESH SAMBHU JADHAV</v>
          </cell>
          <cell r="D62" t="str">
            <v>Male</v>
          </cell>
          <cell r="E62">
            <v>8459835416</v>
          </cell>
          <cell r="F62">
            <v>38073594</v>
          </cell>
        </row>
        <row r="63">
          <cell r="C63" t="str">
            <v>AISHWARYA HASMAL SONAWNE</v>
          </cell>
          <cell r="D63" t="str">
            <v>Female</v>
          </cell>
          <cell r="E63">
            <v>7666525307</v>
          </cell>
          <cell r="F63">
            <v>38073600</v>
          </cell>
        </row>
        <row r="64">
          <cell r="C64" t="str">
            <v>CHOTU SONWANE</v>
          </cell>
          <cell r="D64" t="str">
            <v>Male</v>
          </cell>
          <cell r="E64">
            <v>9970521876</v>
          </cell>
          <cell r="F64">
            <v>38073604</v>
          </cell>
        </row>
        <row r="65">
          <cell r="C65" t="str">
            <v>JYOTI SANDEEP PIMPALE</v>
          </cell>
          <cell r="D65" t="str">
            <v>Female</v>
          </cell>
          <cell r="E65">
            <v>8888744126</v>
          </cell>
          <cell r="F65">
            <v>38073609</v>
          </cell>
        </row>
        <row r="66">
          <cell r="C66" t="str">
            <v>AVINASH GAYKAWAD</v>
          </cell>
          <cell r="D66" t="str">
            <v>Male</v>
          </cell>
          <cell r="E66">
            <v>9158225665</v>
          </cell>
          <cell r="F66">
            <v>38073613</v>
          </cell>
        </row>
        <row r="67">
          <cell r="C67" t="str">
            <v>DHANRAJ PRAKASH DEORE</v>
          </cell>
          <cell r="D67" t="str">
            <v>Male</v>
          </cell>
          <cell r="E67">
            <v>7798001595</v>
          </cell>
          <cell r="F67">
            <v>38074764</v>
          </cell>
        </row>
        <row r="68">
          <cell r="C68" t="str">
            <v>LAKHESING UDESING RAJPUT</v>
          </cell>
          <cell r="D68" t="str">
            <v>Male</v>
          </cell>
          <cell r="E68">
            <v>7066050311</v>
          </cell>
          <cell r="F68">
            <v>38074765</v>
          </cell>
        </row>
        <row r="69">
          <cell r="C69" t="str">
            <v>VISNU NIMBA BRAMHANE</v>
          </cell>
          <cell r="D69" t="str">
            <v>Male</v>
          </cell>
          <cell r="E69">
            <v>9307208791</v>
          </cell>
          <cell r="F69">
            <v>38074766</v>
          </cell>
        </row>
        <row r="70">
          <cell r="C70" t="str">
            <v>BHARAT SAHADU NIKUMBH</v>
          </cell>
          <cell r="D70" t="str">
            <v>Male</v>
          </cell>
          <cell r="E70">
            <v>9503390507</v>
          </cell>
          <cell r="F70">
            <v>38074767</v>
          </cell>
        </row>
        <row r="71">
          <cell r="C71" t="str">
            <v>AJIT KISAN GAVIT</v>
          </cell>
          <cell r="D71" t="str">
            <v>Male</v>
          </cell>
          <cell r="E71">
            <v>8459842188</v>
          </cell>
          <cell r="F71">
            <v>35747061</v>
          </cell>
        </row>
        <row r="72">
          <cell r="C72" t="str">
            <v>AKASH SUBHASH BHIL</v>
          </cell>
          <cell r="D72" t="str">
            <v>Male</v>
          </cell>
          <cell r="E72">
            <v>9309092646</v>
          </cell>
          <cell r="F72">
            <v>38074769</v>
          </cell>
        </row>
        <row r="73">
          <cell r="C73" t="str">
            <v>AKSHAY SACHIN KALE</v>
          </cell>
          <cell r="D73" t="str">
            <v>Male</v>
          </cell>
          <cell r="E73">
            <v>8459778780</v>
          </cell>
          <cell r="F73">
            <v>38073579</v>
          </cell>
        </row>
        <row r="74">
          <cell r="C74" t="str">
            <v>AMOL V KHAIRNAR</v>
          </cell>
          <cell r="D74" t="str">
            <v>Male</v>
          </cell>
          <cell r="E74">
            <v>9359998377</v>
          </cell>
          <cell r="F74">
            <v>38074759</v>
          </cell>
        </row>
        <row r="75">
          <cell r="C75" t="str">
            <v>ANJANA RAMESH CHAURE</v>
          </cell>
          <cell r="D75" t="str">
            <v>Female</v>
          </cell>
          <cell r="E75">
            <v>9168319177</v>
          </cell>
          <cell r="F75">
            <v>35747081</v>
          </cell>
        </row>
        <row r="76">
          <cell r="C76" t="str">
            <v>BHARATIYA TANAJI SHEVALE</v>
          </cell>
          <cell r="D76" t="str">
            <v>Male</v>
          </cell>
          <cell r="E76">
            <v>9011632685</v>
          </cell>
          <cell r="F76">
            <v>38074756</v>
          </cell>
        </row>
        <row r="77">
          <cell r="C77" t="str">
            <v>BHARAT NARAYAN SONAWANE</v>
          </cell>
          <cell r="D77" t="str">
            <v>Male</v>
          </cell>
          <cell r="E77">
            <v>8208803588</v>
          </cell>
          <cell r="F77">
            <v>38074777</v>
          </cell>
        </row>
        <row r="78">
          <cell r="C78" t="str">
            <v>BHUSHAN RAVINDRA DHOBI</v>
          </cell>
          <cell r="D78" t="str">
            <v>Male</v>
          </cell>
          <cell r="E78">
            <v>9511227220</v>
          </cell>
          <cell r="F78">
            <v>38073586</v>
          </cell>
        </row>
        <row r="79">
          <cell r="C79" t="str">
            <v>BHUSHAN VIJAY GUJAR</v>
          </cell>
          <cell r="D79" t="str">
            <v>Male</v>
          </cell>
          <cell r="E79">
            <v>8007353353</v>
          </cell>
          <cell r="F79">
            <v>30598576</v>
          </cell>
        </row>
        <row r="80">
          <cell r="C80" t="str">
            <v>CHANDRAKALA HIRAMAN CHAUDHARY</v>
          </cell>
          <cell r="D80" t="str">
            <v>Female</v>
          </cell>
          <cell r="E80">
            <v>9356742298</v>
          </cell>
          <cell r="F80">
            <v>35747076</v>
          </cell>
        </row>
        <row r="81">
          <cell r="C81" t="str">
            <v>CHETAN N GIRASE</v>
          </cell>
          <cell r="D81" t="str">
            <v>Male</v>
          </cell>
          <cell r="E81">
            <v>9673834029</v>
          </cell>
          <cell r="F81">
            <v>38074757</v>
          </cell>
        </row>
        <row r="82">
          <cell r="C82" t="str">
            <v>DEVENDRA GIRASE</v>
          </cell>
          <cell r="D82" t="str">
            <v>Male</v>
          </cell>
          <cell r="E82">
            <v>8767684633</v>
          </cell>
          <cell r="F82">
            <v>38074761</v>
          </cell>
        </row>
        <row r="83">
          <cell r="C83" t="str">
            <v>DEVENDRA MURALIDHAR PAWAR</v>
          </cell>
          <cell r="D83" t="str">
            <v>Male</v>
          </cell>
          <cell r="E83">
            <v>9403931266</v>
          </cell>
          <cell r="F83">
            <v>38073581</v>
          </cell>
        </row>
        <row r="84">
          <cell r="C84" t="str">
            <v>DHANRAJ RATAN CHAUHAN</v>
          </cell>
          <cell r="D84" t="str">
            <v>Male</v>
          </cell>
          <cell r="E84">
            <v>9527274799</v>
          </cell>
          <cell r="F84">
            <v>35747071</v>
          </cell>
        </row>
        <row r="85">
          <cell r="C85" t="str">
            <v>DHARMA AAPA BHAMARE</v>
          </cell>
          <cell r="D85" t="str">
            <v>Male</v>
          </cell>
          <cell r="E85">
            <v>9730305505</v>
          </cell>
          <cell r="F85">
            <v>30598550</v>
          </cell>
        </row>
        <row r="86">
          <cell r="C86" t="str">
            <v>DIPAK BHAIDAS SURYWANSHI</v>
          </cell>
          <cell r="D86" t="str">
            <v>Male</v>
          </cell>
          <cell r="E86">
            <v>7767866801</v>
          </cell>
          <cell r="F86">
            <v>38073596</v>
          </cell>
        </row>
        <row r="87">
          <cell r="C87" t="str">
            <v>DIPAK NAMDEV MALI</v>
          </cell>
          <cell r="D87" t="str">
            <v>Male</v>
          </cell>
          <cell r="E87">
            <v>9607272893</v>
          </cell>
          <cell r="F87">
            <v>35747058</v>
          </cell>
        </row>
        <row r="88">
          <cell r="C88" t="str">
            <v>GANESH JAGAN JAGTAP</v>
          </cell>
          <cell r="D88" t="str">
            <v>Male</v>
          </cell>
          <cell r="E88">
            <v>9226951954</v>
          </cell>
          <cell r="F88">
            <v>38074770</v>
          </cell>
        </row>
        <row r="89">
          <cell r="C89" t="str">
            <v>HARSHAL ISHWAR AHIRAV</v>
          </cell>
          <cell r="D89" t="str">
            <v>Male</v>
          </cell>
          <cell r="E89">
            <v>9511853838</v>
          </cell>
          <cell r="F89">
            <v>35747084</v>
          </cell>
        </row>
        <row r="90">
          <cell r="C90" t="str">
            <v>ISHWAR KARBHARI GAWALE</v>
          </cell>
          <cell r="D90" t="str">
            <v>Male</v>
          </cell>
          <cell r="E90">
            <v>8378816852</v>
          </cell>
          <cell r="F90">
            <v>33537837</v>
          </cell>
        </row>
        <row r="91">
          <cell r="C91" t="str">
            <v>ISHWAR RAMESH MORE</v>
          </cell>
          <cell r="D91" t="str">
            <v>Male</v>
          </cell>
          <cell r="E91">
            <v>9726754240</v>
          </cell>
          <cell r="F91">
            <v>38073572</v>
          </cell>
        </row>
        <row r="92">
          <cell r="C92" t="str">
            <v>JIVAN RAJENDRA GAVALE</v>
          </cell>
          <cell r="D92" t="str">
            <v>Male</v>
          </cell>
          <cell r="E92">
            <v>8080255817</v>
          </cell>
          <cell r="F92">
            <v>38073589</v>
          </cell>
        </row>
        <row r="93">
          <cell r="C93" t="str">
            <v>JYOTIBA BHIKAN BHIL</v>
          </cell>
          <cell r="D93" t="str">
            <v>Male</v>
          </cell>
          <cell r="E93">
            <v>8080728859</v>
          </cell>
          <cell r="F93">
            <v>38073565</v>
          </cell>
        </row>
        <row r="94">
          <cell r="C94" t="str">
            <v>KALPESH GIRASE</v>
          </cell>
          <cell r="D94" t="str">
            <v>Male</v>
          </cell>
          <cell r="E94">
            <v>7447890056</v>
          </cell>
          <cell r="F94">
            <v>38074760</v>
          </cell>
        </row>
        <row r="95">
          <cell r="C95" t="str">
            <v>KALPESH SHIVAJI BHADANE</v>
          </cell>
          <cell r="D95" t="str">
            <v>Male</v>
          </cell>
          <cell r="E95">
            <v>9975449662</v>
          </cell>
          <cell r="F95">
            <v>33537822</v>
          </cell>
        </row>
        <row r="96">
          <cell r="C96" t="str">
            <v>KARAN NIMBA MAHALE</v>
          </cell>
          <cell r="D96" t="str">
            <v>Male</v>
          </cell>
          <cell r="E96">
            <v>9373159579</v>
          </cell>
          <cell r="F96">
            <v>38074772</v>
          </cell>
        </row>
        <row r="97">
          <cell r="C97" t="str">
            <v>KESHAV SAHEBRAO PAWAR</v>
          </cell>
          <cell r="D97" t="str">
            <v>Male</v>
          </cell>
          <cell r="E97">
            <v>8468868242</v>
          </cell>
          <cell r="F97">
            <v>35747057</v>
          </cell>
        </row>
        <row r="98">
          <cell r="C98" t="str">
            <v>KRUSHANA S PAWAR</v>
          </cell>
          <cell r="D98" t="str">
            <v>Male</v>
          </cell>
          <cell r="E98">
            <v>8432616466</v>
          </cell>
          <cell r="F98">
            <v>38074758</v>
          </cell>
        </row>
        <row r="99">
          <cell r="C99" t="str">
            <v>KUNAL VIJAY PATIL</v>
          </cell>
          <cell r="D99" t="str">
            <v>Male</v>
          </cell>
          <cell r="E99">
            <v>9022176155</v>
          </cell>
          <cell r="F99">
            <v>38073588</v>
          </cell>
        </row>
        <row r="100">
          <cell r="C100" t="str">
            <v>LAXMI GANESH JAGTAP</v>
          </cell>
          <cell r="D100" t="str">
            <v>Female</v>
          </cell>
          <cell r="E100">
            <v>7028790097</v>
          </cell>
          <cell r="F100">
            <v>38073601</v>
          </cell>
        </row>
        <row r="101">
          <cell r="C101" t="str">
            <v>MILIND RANGNATH NAWALE</v>
          </cell>
          <cell r="D101" t="str">
            <v>Male</v>
          </cell>
          <cell r="E101">
            <v>7808040109</v>
          </cell>
          <cell r="F101">
            <v>38074755</v>
          </cell>
        </row>
        <row r="102">
          <cell r="C102" t="str">
            <v>NAGESHWAR RATAN RAJPUT</v>
          </cell>
          <cell r="D102" t="str">
            <v>Male</v>
          </cell>
          <cell r="E102">
            <v>9637919460</v>
          </cell>
          <cell r="F102">
            <v>33537843</v>
          </cell>
        </row>
        <row r="103">
          <cell r="C103" t="str">
            <v>NANA DADAJI MALACHE</v>
          </cell>
          <cell r="D103" t="str">
            <v>Male</v>
          </cell>
          <cell r="E103">
            <v>9226863902</v>
          </cell>
          <cell r="F103">
            <v>38073605</v>
          </cell>
        </row>
        <row r="104">
          <cell r="C104" t="str">
            <v>NILESH MADHAVRAO PATIL</v>
          </cell>
          <cell r="D104" t="str">
            <v>Male</v>
          </cell>
          <cell r="E104">
            <v>7875645813</v>
          </cell>
          <cell r="F104">
            <v>38073593</v>
          </cell>
        </row>
        <row r="105">
          <cell r="C105" t="str">
            <v>NILESH NIMBA MALI</v>
          </cell>
          <cell r="D105" t="str">
            <v>Male</v>
          </cell>
          <cell r="E105">
            <v>9369879617</v>
          </cell>
          <cell r="F105">
            <v>38074775</v>
          </cell>
        </row>
        <row r="106">
          <cell r="C106" t="str">
            <v>PAWAN SUBHASH SONAWANE</v>
          </cell>
          <cell r="D106" t="str">
            <v>Male</v>
          </cell>
          <cell r="E106">
            <v>8975415067</v>
          </cell>
          <cell r="F106">
            <v>33537849</v>
          </cell>
        </row>
        <row r="107">
          <cell r="C107" t="str">
            <v>PRATIK PANDHARINATH MAHIRE</v>
          </cell>
          <cell r="D107" t="str">
            <v>Male</v>
          </cell>
          <cell r="E107">
            <v>7066570328</v>
          </cell>
          <cell r="F107">
            <v>33537850</v>
          </cell>
        </row>
        <row r="108">
          <cell r="C108" t="str">
            <v>PRAVIN NARAYAN GIRASE</v>
          </cell>
          <cell r="D108" t="str">
            <v>Male</v>
          </cell>
          <cell r="E108">
            <v>2504757890</v>
          </cell>
          <cell r="F108">
            <v>35747085</v>
          </cell>
        </row>
        <row r="109">
          <cell r="C109" t="str">
            <v>PRAVIN RAMRAO VENDAIT</v>
          </cell>
          <cell r="D109" t="str">
            <v>Male</v>
          </cell>
          <cell r="E109">
            <v>7588318917</v>
          </cell>
          <cell r="F109">
            <v>38073578</v>
          </cell>
        </row>
        <row r="110">
          <cell r="C110" t="str">
            <v>PUSHKAR NANDU DEORE</v>
          </cell>
          <cell r="D110" t="str">
            <v>Male</v>
          </cell>
          <cell r="E110">
            <v>8010324468</v>
          </cell>
          <cell r="F110">
            <v>38074753</v>
          </cell>
        </row>
        <row r="111">
          <cell r="C111" t="str">
            <v>RAHUL TIKARAM HJAGTAP</v>
          </cell>
          <cell r="D111" t="str">
            <v>Male</v>
          </cell>
          <cell r="E111">
            <v>7378326029</v>
          </cell>
          <cell r="F111">
            <v>38074773</v>
          </cell>
        </row>
        <row r="112">
          <cell r="C112" t="str">
            <v>RAHUL VIJAY DEORE</v>
          </cell>
          <cell r="D112" t="str">
            <v>Male</v>
          </cell>
          <cell r="E112">
            <v>8767745394</v>
          </cell>
          <cell r="F112">
            <v>38073570</v>
          </cell>
        </row>
        <row r="113">
          <cell r="C113" t="str">
            <v>RAJENDRA BHANU PIMPALE</v>
          </cell>
          <cell r="D113" t="str">
            <v>Male</v>
          </cell>
          <cell r="E113">
            <v>7757876540</v>
          </cell>
          <cell r="F113">
            <v>30598561</v>
          </cell>
        </row>
        <row r="114">
          <cell r="C114" t="str">
            <v>RAJENDRA DHARMA NYAHALDE</v>
          </cell>
          <cell r="D114" t="str">
            <v>Male</v>
          </cell>
          <cell r="E114">
            <v>9657308986</v>
          </cell>
          <cell r="F114">
            <v>38073583</v>
          </cell>
        </row>
        <row r="115">
          <cell r="C115" t="str">
            <v>RAJU DAGA PAWAR</v>
          </cell>
          <cell r="D115" t="str">
            <v>Male</v>
          </cell>
          <cell r="E115">
            <v>9529277445</v>
          </cell>
          <cell r="F115">
            <v>38073608</v>
          </cell>
        </row>
        <row r="116">
          <cell r="C116" t="str">
            <v>RAJ VIKRAM KAPDE</v>
          </cell>
          <cell r="D116" t="str">
            <v>Male</v>
          </cell>
          <cell r="E116">
            <v>8554802531</v>
          </cell>
          <cell r="F116">
            <v>38074754</v>
          </cell>
        </row>
        <row r="117">
          <cell r="C117" t="str">
            <v>RAMAKANT KALU AHIRE</v>
          </cell>
          <cell r="D117" t="str">
            <v>Male</v>
          </cell>
          <cell r="E117">
            <v>7264096730</v>
          </cell>
          <cell r="F117">
            <v>38074768</v>
          </cell>
        </row>
        <row r="118">
          <cell r="C118" t="str">
            <v>RINA GOTYA BAGUL</v>
          </cell>
          <cell r="D118" t="str">
            <v>Female</v>
          </cell>
          <cell r="E118">
            <v>9607822091</v>
          </cell>
          <cell r="F118">
            <v>38073599</v>
          </cell>
        </row>
        <row r="119">
          <cell r="C119" t="str">
            <v>ROHIT DAGA MORE</v>
          </cell>
          <cell r="D119" t="str">
            <v>Male</v>
          </cell>
          <cell r="E119">
            <v>9322405059</v>
          </cell>
          <cell r="F119">
            <v>38073566</v>
          </cell>
        </row>
        <row r="120">
          <cell r="C120" t="str">
            <v>SACHIN DEELIP PATIL</v>
          </cell>
          <cell r="D120" t="str">
            <v>Male</v>
          </cell>
          <cell r="E120">
            <v>9545150326</v>
          </cell>
          <cell r="F120">
            <v>38074774</v>
          </cell>
        </row>
        <row r="121">
          <cell r="C121" t="str">
            <v>SAGAR KISHOR THAKARE</v>
          </cell>
          <cell r="D121" t="str">
            <v>Male</v>
          </cell>
          <cell r="E121">
            <v>9325730104</v>
          </cell>
          <cell r="F121">
            <v>38073564</v>
          </cell>
        </row>
        <row r="122">
          <cell r="C122" t="str">
            <v>SAHIL DADABHAI INDAVE</v>
          </cell>
          <cell r="D122" t="str">
            <v>Male</v>
          </cell>
          <cell r="E122">
            <v>9168300209</v>
          </cell>
          <cell r="F122">
            <v>38074771</v>
          </cell>
        </row>
        <row r="123">
          <cell r="C123" t="str">
            <v>SAMADHAN MOTILAL PAGARE</v>
          </cell>
          <cell r="D123" t="str">
            <v>Male</v>
          </cell>
          <cell r="E123">
            <v>8010737282</v>
          </cell>
          <cell r="F123">
            <v>38074776</v>
          </cell>
        </row>
        <row r="124">
          <cell r="C124" t="str">
            <v>SHAILESH SAMBHAJI CHITTE</v>
          </cell>
          <cell r="D124" t="str">
            <v>Male</v>
          </cell>
          <cell r="E124">
            <v>9975048564</v>
          </cell>
          <cell r="F124">
            <v>35747098</v>
          </cell>
        </row>
        <row r="125">
          <cell r="C125" t="str">
            <v>SHANKAR DHAVADYA VASAVE</v>
          </cell>
          <cell r="D125" t="str">
            <v>Male</v>
          </cell>
          <cell r="E125">
            <v>9518918660</v>
          </cell>
          <cell r="F125">
            <v>38073606</v>
          </cell>
        </row>
        <row r="126">
          <cell r="C126" t="str">
            <v>SIDDHANT JITENDRA PATIL</v>
          </cell>
          <cell r="D126" t="str">
            <v>Male</v>
          </cell>
          <cell r="E126">
            <v>9022980750</v>
          </cell>
          <cell r="F126">
            <v>38073591</v>
          </cell>
        </row>
        <row r="127">
          <cell r="C127" t="str">
            <v>SUBHASH HIRAMAN JAGTAP</v>
          </cell>
          <cell r="D127" t="str">
            <v>Male</v>
          </cell>
          <cell r="E127">
            <v>9096627451</v>
          </cell>
          <cell r="F127">
            <v>35747108</v>
          </cell>
        </row>
        <row r="128">
          <cell r="C128" t="str">
            <v>SUNIL DADAJI MALACHE</v>
          </cell>
          <cell r="D128" t="str">
            <v>Male</v>
          </cell>
          <cell r="E128">
            <v>8261008937</v>
          </cell>
          <cell r="F128">
            <v>35747047</v>
          </cell>
        </row>
        <row r="129">
          <cell r="C129" t="str">
            <v>TANVESH RAJENDRA PAWAR</v>
          </cell>
          <cell r="D129" t="str">
            <v>Male</v>
          </cell>
          <cell r="E129">
            <v>7499491171</v>
          </cell>
          <cell r="F129">
            <v>30598571</v>
          </cell>
        </row>
        <row r="130">
          <cell r="C130" t="str">
            <v>TUSHAR RAMESH PAWAR</v>
          </cell>
          <cell r="D130" t="str">
            <v>Male</v>
          </cell>
          <cell r="E130">
            <v>7666070325</v>
          </cell>
          <cell r="F130">
            <v>30598573</v>
          </cell>
        </row>
        <row r="131">
          <cell r="C131" t="str">
            <v>UJJWAL BHASKAR GANGURDE</v>
          </cell>
          <cell r="D131" t="str">
            <v>Male</v>
          </cell>
          <cell r="E131">
            <v>9975521132</v>
          </cell>
          <cell r="F131">
            <v>33537871</v>
          </cell>
        </row>
        <row r="132">
          <cell r="C132" t="str">
            <v>VASANT KISAN MAHALE</v>
          </cell>
          <cell r="D132" t="str">
            <v>Male</v>
          </cell>
          <cell r="E132">
            <v>9657173613</v>
          </cell>
          <cell r="F132">
            <v>35747067</v>
          </cell>
        </row>
        <row r="133">
          <cell r="C133" t="str">
            <v>VIJAYA GANESH KOKANI</v>
          </cell>
          <cell r="D133" t="str">
            <v>Female</v>
          </cell>
          <cell r="E133">
            <v>7770030968</v>
          </cell>
          <cell r="F133">
            <v>35747078</v>
          </cell>
        </row>
        <row r="134">
          <cell r="C134" t="str">
            <v>VIJAY LOTAN SONAWANE</v>
          </cell>
          <cell r="D134" t="str">
            <v>Male</v>
          </cell>
          <cell r="E134">
            <v>7741907949</v>
          </cell>
          <cell r="F134">
            <v>38073562</v>
          </cell>
        </row>
        <row r="135">
          <cell r="C135" t="str">
            <v>VIJAY MADHUSUDHAN JOSHI</v>
          </cell>
          <cell r="D135" t="str">
            <v>Male</v>
          </cell>
          <cell r="E135">
            <v>9422453340</v>
          </cell>
          <cell r="F135">
            <v>30598567</v>
          </cell>
        </row>
        <row r="136">
          <cell r="C136" t="str">
            <v>VILAS RAMESH MORE</v>
          </cell>
          <cell r="D136" t="str">
            <v>Male</v>
          </cell>
          <cell r="E136">
            <v>7798001596</v>
          </cell>
          <cell r="F136">
            <v>38074763</v>
          </cell>
        </row>
        <row r="137">
          <cell r="C137" t="str">
            <v>VINOD DEVIDAS PATIL</v>
          </cell>
          <cell r="D137" t="str">
            <v>Male</v>
          </cell>
          <cell r="E137">
            <v>8806325792</v>
          </cell>
          <cell r="F137">
            <v>38074762</v>
          </cell>
        </row>
        <row r="138">
          <cell r="C138" t="str">
            <v>VINOD GULAB PAWAR</v>
          </cell>
          <cell r="D138" t="str">
            <v>Male</v>
          </cell>
          <cell r="E138">
            <v>9325963858</v>
          </cell>
          <cell r="F138">
            <v>33537864</v>
          </cell>
        </row>
        <row r="139">
          <cell r="C139" t="str">
            <v>YOGESH RAVINDRA PATIL</v>
          </cell>
          <cell r="D139" t="str">
            <v>Male</v>
          </cell>
          <cell r="E139">
            <v>8263050853</v>
          </cell>
          <cell r="F139">
            <v>33537868</v>
          </cell>
        </row>
        <row r="140">
          <cell r="C140" t="str">
            <v>YUVARAJ NAVANATH BAGUL</v>
          </cell>
          <cell r="D140" t="str">
            <v>Male</v>
          </cell>
          <cell r="E140">
            <v>9607162190</v>
          </cell>
          <cell r="F140">
            <v>38073568</v>
          </cell>
        </row>
        <row r="141">
          <cell r="C141" t="str">
            <v>YUVRAJ BRIJLAL CHOUDHARI</v>
          </cell>
          <cell r="D141" t="str">
            <v>Male</v>
          </cell>
          <cell r="E141">
            <v>9637040709</v>
          </cell>
          <cell r="F141">
            <v>33537866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>
        <row r="2">
          <cell r="C2" t="str">
            <v>NAMRATA SARDAR CHAURE</v>
          </cell>
          <cell r="D2">
            <v>7768939677</v>
          </cell>
        </row>
        <row r="3">
          <cell r="C3" t="str">
            <v>JAYASHRI BHIMRAO PAWAR</v>
          </cell>
          <cell r="D3">
            <v>9049914878</v>
          </cell>
        </row>
        <row r="4">
          <cell r="C4" t="str">
            <v>AISHWARYA HASMAL SONAWNE</v>
          </cell>
          <cell r="D4">
            <v>7666525307</v>
          </cell>
        </row>
        <row r="5">
          <cell r="C5" t="str">
            <v>ANJANA RAMESH CHAURE</v>
          </cell>
          <cell r="D5">
            <v>9168319177</v>
          </cell>
        </row>
        <row r="6">
          <cell r="C6" t="str">
            <v>CHANDRAKALA HIRAMAN CHAUDHARY</v>
          </cell>
          <cell r="D6">
            <v>9356742298</v>
          </cell>
        </row>
        <row r="7">
          <cell r="C7" t="str">
            <v>LAXMI GANESH JAGTAP</v>
          </cell>
          <cell r="D7">
            <v>7028790097</v>
          </cell>
        </row>
        <row r="8">
          <cell r="C8" t="str">
            <v>VIJAYA GANESH KOKANI</v>
          </cell>
          <cell r="D8">
            <v>7770030968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ualification"/>
      <sheetName val="CostCenter"/>
      <sheetName val="Details"/>
      <sheetName val="UNITECH"/>
      <sheetName val="SPECTRUM "/>
      <sheetName val="SUJAL "/>
      <sheetName val="BALAJI"/>
      <sheetName val="SubEmployeeType"/>
      <sheetName val="LeaveGroup"/>
      <sheetName val="Bank"/>
      <sheetName val="Data"/>
      <sheetName val="WeeklyOff"/>
      <sheetName val="HolidayGroup"/>
      <sheetName val="ConstantData"/>
      <sheetName val="Gender"/>
      <sheetName val="Office"/>
      <sheetName val="EmployeeType"/>
      <sheetName val="SubContractor"/>
      <sheetName val="Department"/>
      <sheetName val="Designation"/>
      <sheetName val="Grad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Anand Pokharna" id="{D2E7DA9D-54BA-40FA-83BE-BF33C8A7CFFE}" userId="S::anand@akfinserv.com::eb16f67f-fd56-4574-9df9-f697422c950c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5" dT="2025-11-18T02:36:21.84" personId="{D2E7DA9D-54BA-40FA-83BE-BF33C8A7CFFE}" id="{5248B074-657D-4874-8789-63C073F7A3FB}">
    <text>Biometric ID and Employee ID can be same</text>
  </threadedComment>
  <threadedComment ref="B5" dT="2025-11-18T02:36:21.84" personId="{D2E7DA9D-54BA-40FA-83BE-BF33C8A7CFFE}" id="{44E8FAC7-0F45-4768-966C-23F10C7DE4CA}">
    <text>Biometric ID and Employee ID can be same</text>
  </threadedComment>
  <threadedComment ref="S5" dT="2025-11-19T03:50:13.89" personId="{D2E7DA9D-54BA-40FA-83BE-BF33C8A7CFFE}" id="{B251F542-0BDB-4869-9B30-E7EFA9ADCC6E}">
    <text>Leave blank if rortaional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T656"/>
  <sheetViews>
    <sheetView tabSelected="1" zoomScale="106" zoomScaleNormal="106" workbookViewId="0">
      <pane xSplit="6" ySplit="5" topLeftCell="G6" activePane="bottomRight" state="frozen"/>
      <selection pane="topRight" activeCell="G1" sqref="G1"/>
      <selection pane="bottomLeft" activeCell="A6" sqref="A6"/>
      <selection pane="bottomRight" activeCell="E23" sqref="E23"/>
    </sheetView>
  </sheetViews>
  <sheetFormatPr defaultRowHeight="15" x14ac:dyDescent="0.25"/>
  <cols>
    <col min="1" max="1" width="10.5703125" style="1" customWidth="1"/>
    <col min="2" max="2" width="18.28515625" style="51" bestFit="1" customWidth="1"/>
    <col min="3" max="3" width="10" style="1" bestFit="1" customWidth="1"/>
    <col min="4" max="4" width="19" style="12" bestFit="1" customWidth="1"/>
    <col min="5" max="5" width="16.5703125" style="12" bestFit="1" customWidth="1"/>
    <col min="6" max="6" width="15.140625" style="12" bestFit="1" customWidth="1"/>
    <col min="7" max="7" width="12.5703125" style="1" bestFit="1" customWidth="1"/>
    <col min="8" max="8" width="15.85546875" style="1" bestFit="1" customWidth="1"/>
    <col min="9" max="9" width="29.28515625" style="1" bestFit="1" customWidth="1"/>
    <col min="10" max="10" width="28.42578125" style="1" bestFit="1" customWidth="1"/>
    <col min="11" max="11" width="16.7109375" style="1" bestFit="1" customWidth="1"/>
    <col min="12" max="12" width="16.5703125" style="1" bestFit="1" customWidth="1"/>
    <col min="13" max="13" width="19.7109375" style="1" bestFit="1" customWidth="1"/>
    <col min="14" max="14" width="16.28515625" style="1" customWidth="1"/>
    <col min="15" max="15" width="15.42578125" style="1" bestFit="1" customWidth="1"/>
    <col min="16" max="16" width="19.140625" style="1" bestFit="1" customWidth="1"/>
    <col min="17" max="17" width="23" style="7" bestFit="1" customWidth="1"/>
    <col min="18" max="18" width="18.42578125" style="1" bestFit="1" customWidth="1"/>
    <col min="19" max="19" width="23.140625" style="1" bestFit="1" customWidth="1"/>
    <col min="20" max="20" width="17.140625" style="1" bestFit="1" customWidth="1"/>
    <col min="21" max="21" width="14.5703125" style="1" bestFit="1" customWidth="1"/>
    <col min="22" max="22" width="13.7109375" style="7" bestFit="1" customWidth="1"/>
    <col min="23" max="23" width="14.28515625" style="1" bestFit="1" customWidth="1"/>
    <col min="24" max="24" width="16.140625" style="1" bestFit="1" customWidth="1"/>
    <col min="25" max="25" width="15.28515625" style="8" bestFit="1" customWidth="1"/>
    <col min="26" max="26" width="14.28515625" style="1" bestFit="1" customWidth="1"/>
    <col min="27" max="28" width="18.85546875" style="1" customWidth="1"/>
    <col min="29" max="29" width="31" style="1" bestFit="1" customWidth="1"/>
    <col min="30" max="30" width="25.5703125" style="1" bestFit="1" customWidth="1"/>
    <col min="31" max="31" width="29.140625" style="1" bestFit="1" customWidth="1"/>
    <col min="32" max="32" width="29.28515625" style="1" customWidth="1"/>
    <col min="33" max="33" width="100.140625" style="9" bestFit="1" customWidth="1"/>
    <col min="34" max="34" width="29.42578125" style="7" bestFit="1" customWidth="1"/>
    <col min="35" max="35" width="28.7109375" style="7" bestFit="1" customWidth="1"/>
    <col min="36" max="36" width="29.5703125" style="1" bestFit="1" customWidth="1"/>
    <col min="37" max="37" width="31.85546875" style="1" bestFit="1" customWidth="1"/>
    <col min="38" max="38" width="69.42578125" style="11" customWidth="1"/>
    <col min="39" max="39" width="33" style="1" bestFit="1" customWidth="1"/>
    <col min="40" max="40" width="17.5703125" style="1" customWidth="1"/>
    <col min="41" max="41" width="21.28515625" style="1" bestFit="1" customWidth="1"/>
    <col min="42" max="42" width="24.7109375" style="1" bestFit="1" customWidth="1"/>
    <col min="43" max="43" width="40.42578125" style="1" bestFit="1" customWidth="1"/>
    <col min="44" max="44" width="21.140625" style="1" bestFit="1" customWidth="1"/>
    <col min="45" max="45" width="20.7109375" style="1" bestFit="1" customWidth="1"/>
    <col min="46" max="46" width="66.28515625" style="51" bestFit="1" customWidth="1"/>
    <col min="47" max="47" width="14.85546875" style="1" bestFit="1" customWidth="1"/>
    <col min="48" max="48" width="14.5703125" style="1" bestFit="1" customWidth="1"/>
    <col min="49" max="16384" width="9.140625" style="1"/>
  </cols>
  <sheetData>
    <row r="1" spans="1:46" x14ac:dyDescent="0.25">
      <c r="A1" s="2" t="s">
        <v>0</v>
      </c>
      <c r="B1" s="2" t="s">
        <v>1082</v>
      </c>
      <c r="C1" s="3"/>
      <c r="D1" s="2"/>
      <c r="E1" s="2"/>
      <c r="F1" s="2"/>
      <c r="G1" s="3"/>
      <c r="H1" s="3"/>
      <c r="I1" s="3"/>
      <c r="J1" s="3"/>
      <c r="K1" s="3"/>
      <c r="L1" s="3"/>
      <c r="M1" s="3"/>
      <c r="N1" s="3"/>
      <c r="O1" s="3"/>
      <c r="P1" s="3"/>
      <c r="Q1" s="6"/>
      <c r="R1" s="3"/>
      <c r="S1" s="3"/>
      <c r="T1" s="3"/>
      <c r="U1" s="3"/>
      <c r="V1" s="6"/>
      <c r="W1" s="3"/>
      <c r="X1" s="3"/>
      <c r="Y1" s="15"/>
      <c r="Z1" s="6"/>
      <c r="AA1" s="6"/>
      <c r="AB1" s="6"/>
      <c r="AC1" s="6"/>
      <c r="AD1" s="3"/>
      <c r="AE1" s="3"/>
      <c r="AF1" s="3"/>
      <c r="AG1" s="6"/>
      <c r="AH1" s="6"/>
      <c r="AI1" s="6"/>
      <c r="AJ1" s="3"/>
      <c r="AK1" s="3"/>
      <c r="AL1" s="3"/>
      <c r="AM1" s="3"/>
      <c r="AN1" s="3"/>
      <c r="AO1" s="3"/>
      <c r="AP1" s="3"/>
      <c r="AQ1" s="3"/>
      <c r="AR1" s="3"/>
      <c r="AS1" s="3"/>
      <c r="AT1" s="2"/>
    </row>
    <row r="2" spans="1:46" x14ac:dyDescent="0.25">
      <c r="A2" s="2" t="s">
        <v>1</v>
      </c>
      <c r="B2" s="2" t="s">
        <v>1082</v>
      </c>
      <c r="C2" s="3"/>
      <c r="D2" s="2"/>
      <c r="E2" s="2"/>
      <c r="F2" s="2"/>
      <c r="G2" s="3"/>
      <c r="H2" s="3"/>
      <c r="I2" s="3"/>
      <c r="J2" s="3"/>
      <c r="K2" s="3"/>
      <c r="L2" s="3"/>
      <c r="M2" s="3"/>
      <c r="N2" s="3"/>
      <c r="O2" s="3"/>
      <c r="P2" s="3"/>
      <c r="Q2" s="6"/>
      <c r="R2" s="3"/>
      <c r="S2" s="3"/>
      <c r="T2" s="3"/>
      <c r="U2" s="3"/>
      <c r="V2" s="6"/>
      <c r="W2" s="3"/>
      <c r="X2" s="3"/>
      <c r="Y2" s="15"/>
      <c r="Z2" s="16"/>
      <c r="AA2" s="16"/>
      <c r="AB2" s="16"/>
      <c r="AC2" s="16"/>
      <c r="AD2" s="3"/>
      <c r="AE2" s="3"/>
      <c r="AF2" s="3"/>
      <c r="AG2" s="6"/>
      <c r="AH2" s="6"/>
      <c r="AI2" s="6"/>
      <c r="AJ2" s="3"/>
      <c r="AK2" s="3"/>
      <c r="AL2" s="3"/>
      <c r="AM2" s="3"/>
      <c r="AN2" s="3"/>
      <c r="AO2" s="3"/>
      <c r="AP2" s="3"/>
      <c r="AQ2" s="3"/>
      <c r="AR2" s="3"/>
      <c r="AS2" s="3"/>
      <c r="AT2" s="2"/>
    </row>
    <row r="3" spans="1:46" x14ac:dyDescent="0.25">
      <c r="A3" s="3" t="s">
        <v>2</v>
      </c>
      <c r="B3" s="2" t="s">
        <v>1082</v>
      </c>
      <c r="C3" s="3"/>
      <c r="D3" s="2"/>
      <c r="E3" s="2"/>
      <c r="F3" s="2"/>
      <c r="G3" s="3"/>
      <c r="H3" s="3"/>
      <c r="I3" s="3"/>
      <c r="J3" s="3"/>
      <c r="K3" s="3"/>
      <c r="L3" s="3"/>
      <c r="M3" s="3"/>
      <c r="N3" s="3"/>
      <c r="O3" s="3"/>
      <c r="P3" s="3"/>
      <c r="Q3" s="6"/>
      <c r="R3" s="3"/>
      <c r="S3" s="3"/>
      <c r="T3" s="3"/>
      <c r="U3" s="3"/>
      <c r="V3" s="6"/>
      <c r="W3" s="3"/>
      <c r="X3" s="3"/>
      <c r="Y3" s="15"/>
      <c r="Z3" s="6"/>
      <c r="AA3" s="6"/>
      <c r="AB3" s="6"/>
      <c r="AC3" s="6"/>
      <c r="AD3" s="3"/>
      <c r="AE3" s="3"/>
      <c r="AF3" s="3"/>
      <c r="AG3" s="6"/>
      <c r="AH3" s="6"/>
      <c r="AI3" s="6"/>
      <c r="AJ3" s="3"/>
      <c r="AK3" s="3"/>
      <c r="AL3" s="3"/>
      <c r="AM3" s="3"/>
      <c r="AN3" s="3"/>
      <c r="AO3" s="3"/>
      <c r="AP3" s="3"/>
      <c r="AQ3" s="3"/>
      <c r="AR3" s="3"/>
      <c r="AS3" s="3"/>
      <c r="AT3" s="2"/>
    </row>
    <row r="4" spans="1:46" x14ac:dyDescent="0.25">
      <c r="A4" s="3" t="s">
        <v>3</v>
      </c>
      <c r="B4" s="2" t="s">
        <v>1082</v>
      </c>
      <c r="C4" s="3"/>
      <c r="D4" s="2"/>
      <c r="E4" s="2"/>
      <c r="F4" s="2"/>
      <c r="G4" s="3"/>
      <c r="H4" s="3"/>
      <c r="I4" s="3"/>
      <c r="J4" s="3"/>
      <c r="K4" s="3"/>
      <c r="L4" s="3"/>
      <c r="M4" s="3"/>
      <c r="N4" s="3"/>
      <c r="O4" s="3"/>
      <c r="P4" s="3"/>
      <c r="Q4" s="6"/>
      <c r="R4" s="3"/>
      <c r="S4" s="3"/>
      <c r="T4" s="3"/>
      <c r="U4" s="3"/>
      <c r="V4" s="6"/>
      <c r="W4" s="3"/>
      <c r="X4" s="3"/>
      <c r="Y4" s="15"/>
      <c r="Z4" s="16">
        <v>1</v>
      </c>
      <c r="AA4" s="16"/>
      <c r="AB4" s="16"/>
      <c r="AC4" s="16"/>
      <c r="AD4" s="3"/>
      <c r="AE4" s="3"/>
      <c r="AF4" s="3"/>
      <c r="AG4" s="6"/>
      <c r="AH4" s="6"/>
      <c r="AI4" s="6"/>
      <c r="AJ4" s="3"/>
      <c r="AK4" s="3"/>
      <c r="AL4" s="3"/>
      <c r="AM4" s="3"/>
      <c r="AN4" s="3"/>
      <c r="AO4" s="3"/>
      <c r="AP4" s="3"/>
      <c r="AQ4" s="3"/>
      <c r="AR4" s="3"/>
      <c r="AS4" s="3"/>
      <c r="AT4" s="2"/>
    </row>
    <row r="5" spans="1:46" x14ac:dyDescent="0.25">
      <c r="A5" s="17" t="s">
        <v>4</v>
      </c>
      <c r="B5" s="18" t="s">
        <v>5</v>
      </c>
      <c r="C5" s="17" t="s">
        <v>6</v>
      </c>
      <c r="D5" s="18" t="s">
        <v>7</v>
      </c>
      <c r="E5" s="18" t="s">
        <v>8</v>
      </c>
      <c r="F5" s="18" t="s">
        <v>9</v>
      </c>
      <c r="G5" s="17" t="s">
        <v>10</v>
      </c>
      <c r="H5" s="17" t="s">
        <v>11</v>
      </c>
      <c r="I5" s="17" t="s">
        <v>12</v>
      </c>
      <c r="J5" s="17" t="s">
        <v>145</v>
      </c>
      <c r="K5" s="17" t="s">
        <v>13</v>
      </c>
      <c r="L5" s="17" t="s">
        <v>14</v>
      </c>
      <c r="M5" s="17" t="s">
        <v>15</v>
      </c>
      <c r="N5" s="17" t="s">
        <v>16</v>
      </c>
      <c r="O5" s="17" t="s">
        <v>17</v>
      </c>
      <c r="P5" s="17" t="s">
        <v>18</v>
      </c>
      <c r="Q5" s="19" t="s">
        <v>19</v>
      </c>
      <c r="R5" s="17" t="s">
        <v>20</v>
      </c>
      <c r="S5" s="17" t="s">
        <v>156</v>
      </c>
      <c r="T5" s="17" t="s">
        <v>21</v>
      </c>
      <c r="U5" s="17" t="s">
        <v>146</v>
      </c>
      <c r="V5" s="19" t="s">
        <v>147</v>
      </c>
      <c r="W5" s="17" t="s">
        <v>148</v>
      </c>
      <c r="X5" s="17" t="s">
        <v>149</v>
      </c>
      <c r="Y5" s="19" t="s">
        <v>22</v>
      </c>
      <c r="Z5" s="19" t="s">
        <v>150</v>
      </c>
      <c r="AA5" s="19" t="s">
        <v>151</v>
      </c>
      <c r="AB5" s="19" t="s">
        <v>23</v>
      </c>
      <c r="AC5" s="19" t="s">
        <v>152</v>
      </c>
      <c r="AD5" s="17" t="s">
        <v>24</v>
      </c>
      <c r="AE5" s="17" t="s">
        <v>25</v>
      </c>
      <c r="AF5" s="17" t="s">
        <v>26</v>
      </c>
      <c r="AG5" s="17" t="s">
        <v>27</v>
      </c>
      <c r="AH5" s="17" t="s">
        <v>28</v>
      </c>
      <c r="AI5" s="17" t="s">
        <v>29</v>
      </c>
      <c r="AJ5" s="17" t="s">
        <v>30</v>
      </c>
      <c r="AK5" s="17" t="s">
        <v>31</v>
      </c>
      <c r="AL5" s="17" t="s">
        <v>32</v>
      </c>
      <c r="AM5" s="17" t="s">
        <v>33</v>
      </c>
      <c r="AN5" s="17" t="s">
        <v>34</v>
      </c>
      <c r="AO5" s="17" t="s">
        <v>35</v>
      </c>
      <c r="AP5" s="17" t="s">
        <v>36</v>
      </c>
      <c r="AQ5" s="17" t="s">
        <v>37</v>
      </c>
      <c r="AR5" s="17" t="s">
        <v>38</v>
      </c>
      <c r="AS5" s="17" t="s">
        <v>39</v>
      </c>
      <c r="AT5" s="18" t="s">
        <v>40</v>
      </c>
    </row>
    <row r="6" spans="1:46" x14ac:dyDescent="0.25">
      <c r="A6" s="20">
        <v>1</v>
      </c>
      <c r="B6" s="21" t="s">
        <v>157</v>
      </c>
      <c r="C6" s="20" t="s">
        <v>50</v>
      </c>
      <c r="D6" s="22" t="s">
        <v>348</v>
      </c>
      <c r="E6" s="22" t="s">
        <v>421</v>
      </c>
      <c r="F6" s="22" t="s">
        <v>488</v>
      </c>
      <c r="G6" s="20" t="s">
        <v>64</v>
      </c>
      <c r="H6" s="20"/>
      <c r="I6" s="20" t="str">
        <f>VLOOKUP(B6,'[1]BILLING &amp; PAY SHEET'!$C$9:$H$109,6,0)</f>
        <v>01.07.1995</v>
      </c>
      <c r="J6" s="20" t="str">
        <f>VLOOKUP(B6,'[1]BILLING &amp; PAY SHEET'!$C$9:$I$109,7,0)</f>
        <v>20.09.2023</v>
      </c>
      <c r="K6" s="20" t="s">
        <v>67</v>
      </c>
      <c r="L6" s="20" t="s">
        <v>69</v>
      </c>
      <c r="M6" s="20" t="s">
        <v>539</v>
      </c>
      <c r="N6" s="4" t="s">
        <v>142</v>
      </c>
      <c r="O6" s="20" t="s">
        <v>542</v>
      </c>
      <c r="P6" s="20" t="s">
        <v>68</v>
      </c>
      <c r="Q6" s="23" t="s">
        <v>545</v>
      </c>
      <c r="R6" s="20" t="s">
        <v>46</v>
      </c>
      <c r="S6" s="20" t="s">
        <v>155</v>
      </c>
      <c r="T6" s="20" t="s">
        <v>43</v>
      </c>
      <c r="U6" s="20"/>
      <c r="V6" s="20">
        <v>102002801526</v>
      </c>
      <c r="W6" s="24" t="s">
        <v>639</v>
      </c>
      <c r="X6" s="20"/>
      <c r="Y6" s="23" t="e">
        <f>VLOOKUP(#REF!,[2]Sheet4!$C$2:$F$141,4,0)</f>
        <v>#REF!</v>
      </c>
      <c r="Z6" s="23">
        <v>530862680871</v>
      </c>
      <c r="AA6" s="20">
        <v>8407912136</v>
      </c>
      <c r="AB6" s="20" t="s">
        <v>1185</v>
      </c>
      <c r="AC6" s="20"/>
      <c r="AD6" s="20" t="s">
        <v>421</v>
      </c>
      <c r="AE6" s="20">
        <v>8407912136</v>
      </c>
      <c r="AF6" s="20"/>
      <c r="AG6" s="25" t="s">
        <v>696</v>
      </c>
      <c r="AH6" s="20" t="s">
        <v>754</v>
      </c>
      <c r="AI6" s="5" t="s">
        <v>799</v>
      </c>
      <c r="AJ6" s="20" t="s">
        <v>779</v>
      </c>
      <c r="AK6" s="20">
        <v>425408</v>
      </c>
      <c r="AL6" s="25" t="s">
        <v>696</v>
      </c>
      <c r="AM6" s="20" t="s">
        <v>754</v>
      </c>
      <c r="AN6" s="5" t="s">
        <v>799</v>
      </c>
      <c r="AO6" s="20" t="s">
        <v>779</v>
      </c>
      <c r="AP6" s="20">
        <v>425408</v>
      </c>
      <c r="AQ6" s="26" t="s">
        <v>839</v>
      </c>
      <c r="AR6" s="27" t="s">
        <v>855</v>
      </c>
      <c r="AS6" s="28" t="s">
        <v>894</v>
      </c>
      <c r="AT6" s="60" t="s">
        <v>253</v>
      </c>
    </row>
    <row r="7" spans="1:46" x14ac:dyDescent="0.25">
      <c r="A7" s="20">
        <v>2</v>
      </c>
      <c r="B7" s="21" t="s">
        <v>158</v>
      </c>
      <c r="C7" s="20" t="s">
        <v>50</v>
      </c>
      <c r="D7" s="22" t="s">
        <v>350</v>
      </c>
      <c r="E7" s="22" t="s">
        <v>423</v>
      </c>
      <c r="F7" s="22" t="s">
        <v>490</v>
      </c>
      <c r="G7" s="20" t="s">
        <v>64</v>
      </c>
      <c r="H7" s="20"/>
      <c r="I7" s="20" t="str">
        <f>VLOOKUP(B7,'[1]BILLING &amp; PAY SHEET'!$C$9:$H$109,6,0)</f>
        <v>10.03.1998</v>
      </c>
      <c r="J7" s="20" t="str">
        <f>VLOOKUP(B7,'[1]BILLING &amp; PAY SHEET'!$C$9:$I$109,7,0)</f>
        <v>20.09.2023</v>
      </c>
      <c r="K7" s="20" t="s">
        <v>67</v>
      </c>
      <c r="L7" s="20" t="s">
        <v>69</v>
      </c>
      <c r="M7" s="20" t="s">
        <v>539</v>
      </c>
      <c r="N7" s="4" t="s">
        <v>144</v>
      </c>
      <c r="O7" s="20" t="s">
        <v>542</v>
      </c>
      <c r="P7" s="20" t="s">
        <v>68</v>
      </c>
      <c r="Q7" s="23" t="s">
        <v>545</v>
      </c>
      <c r="R7" s="20" t="s">
        <v>46</v>
      </c>
      <c r="S7" s="20" t="s">
        <v>155</v>
      </c>
      <c r="T7" s="20" t="s">
        <v>43</v>
      </c>
      <c r="U7" s="20"/>
      <c r="V7" s="20" t="s">
        <v>546</v>
      </c>
      <c r="W7" s="24" t="s">
        <v>640</v>
      </c>
      <c r="X7" s="20"/>
      <c r="Y7" s="23" t="e">
        <f>VLOOKUP(#REF!,[2]Sheet4!$C$2:$F$141,4,0)</f>
        <v>#REF!</v>
      </c>
      <c r="Z7" s="23">
        <v>311347165754</v>
      </c>
      <c r="AA7" s="20">
        <v>7507815727</v>
      </c>
      <c r="AB7" s="20" t="s">
        <v>1319</v>
      </c>
      <c r="AC7" s="20"/>
      <c r="AD7" s="20" t="s">
        <v>423</v>
      </c>
      <c r="AE7" s="20">
        <v>7507815727</v>
      </c>
      <c r="AF7" s="20"/>
      <c r="AG7" s="25" t="s">
        <v>698</v>
      </c>
      <c r="AH7" s="20" t="s">
        <v>756</v>
      </c>
      <c r="AI7" s="5" t="s">
        <v>799</v>
      </c>
      <c r="AJ7" s="20" t="s">
        <v>781</v>
      </c>
      <c r="AK7" s="20">
        <v>424305</v>
      </c>
      <c r="AL7" s="25" t="s">
        <v>698</v>
      </c>
      <c r="AM7" s="20" t="s">
        <v>756</v>
      </c>
      <c r="AN7" s="5" t="s">
        <v>799</v>
      </c>
      <c r="AO7" s="20" t="s">
        <v>781</v>
      </c>
      <c r="AP7" s="20">
        <v>424305</v>
      </c>
      <c r="AQ7" s="26" t="s">
        <v>840</v>
      </c>
      <c r="AR7" s="27" t="s">
        <v>856</v>
      </c>
      <c r="AS7" s="28" t="s">
        <v>895</v>
      </c>
      <c r="AT7" s="60" t="s">
        <v>254</v>
      </c>
    </row>
    <row r="8" spans="1:46" x14ac:dyDescent="0.25">
      <c r="A8" s="20">
        <v>3</v>
      </c>
      <c r="B8" s="21" t="s">
        <v>159</v>
      </c>
      <c r="C8" s="20" t="s">
        <v>50</v>
      </c>
      <c r="D8" s="22" t="s">
        <v>351</v>
      </c>
      <c r="E8" s="22" t="s">
        <v>372</v>
      </c>
      <c r="F8" s="22" t="s">
        <v>491</v>
      </c>
      <c r="G8" s="20" t="s">
        <v>64</v>
      </c>
      <c r="H8" s="20"/>
      <c r="I8" s="29" t="s">
        <v>1039</v>
      </c>
      <c r="J8" s="20" t="str">
        <f>VLOOKUP(B8,'[1]BILLING &amp; PAY SHEET'!$C$9:$I$109,7,0)</f>
        <v>20.09.2023</v>
      </c>
      <c r="K8" s="20" t="s">
        <v>67</v>
      </c>
      <c r="L8" s="20" t="s">
        <v>69</v>
      </c>
      <c r="M8" s="20" t="s">
        <v>539</v>
      </c>
      <c r="N8" s="4" t="s">
        <v>144</v>
      </c>
      <c r="O8" s="20" t="s">
        <v>542</v>
      </c>
      <c r="P8" s="20" t="s">
        <v>68</v>
      </c>
      <c r="Q8" s="23" t="s">
        <v>545</v>
      </c>
      <c r="R8" s="20" t="s">
        <v>46</v>
      </c>
      <c r="S8" s="20" t="s">
        <v>155</v>
      </c>
      <c r="T8" s="20" t="s">
        <v>43</v>
      </c>
      <c r="U8" s="20"/>
      <c r="V8" s="20" t="s">
        <v>547</v>
      </c>
      <c r="W8" s="24">
        <v>2504945416</v>
      </c>
      <c r="X8" s="20"/>
      <c r="Y8" s="23" t="e">
        <f>VLOOKUP(#REF!,[2]Sheet4!$C$2:$F$141,4,0)</f>
        <v>#REF!</v>
      </c>
      <c r="Z8" s="23">
        <v>764884606120</v>
      </c>
      <c r="AA8" s="20">
        <v>8767816705</v>
      </c>
      <c r="AB8" s="20" t="s">
        <v>1185</v>
      </c>
      <c r="AC8" s="20"/>
      <c r="AD8" s="20" t="s">
        <v>372</v>
      </c>
      <c r="AE8" s="20">
        <v>8767816705</v>
      </c>
      <c r="AF8" s="20"/>
      <c r="AG8" s="25" t="s">
        <v>697</v>
      </c>
      <c r="AH8" s="20" t="s">
        <v>755</v>
      </c>
      <c r="AI8" s="5" t="s">
        <v>799</v>
      </c>
      <c r="AJ8" s="20" t="s">
        <v>780</v>
      </c>
      <c r="AK8" s="20">
        <v>424305</v>
      </c>
      <c r="AL8" s="25" t="s">
        <v>697</v>
      </c>
      <c r="AM8" s="20" t="s">
        <v>755</v>
      </c>
      <c r="AN8" s="5" t="s">
        <v>799</v>
      </c>
      <c r="AO8" s="20" t="s">
        <v>780</v>
      </c>
      <c r="AP8" s="20">
        <v>424305</v>
      </c>
      <c r="AQ8" s="26" t="s">
        <v>841</v>
      </c>
      <c r="AR8" s="27">
        <v>2969231692</v>
      </c>
      <c r="AS8" s="28" t="s">
        <v>896</v>
      </c>
      <c r="AT8" s="60" t="s">
        <v>255</v>
      </c>
    </row>
    <row r="9" spans="1:46" x14ac:dyDescent="0.25">
      <c r="A9" s="20">
        <v>4</v>
      </c>
      <c r="B9" s="21" t="s">
        <v>160</v>
      </c>
      <c r="C9" s="20" t="s">
        <v>50</v>
      </c>
      <c r="D9" s="22" t="s">
        <v>352</v>
      </c>
      <c r="E9" s="22" t="s">
        <v>424</v>
      </c>
      <c r="F9" s="22" t="s">
        <v>488</v>
      </c>
      <c r="G9" s="20" t="s">
        <v>64</v>
      </c>
      <c r="H9" s="20"/>
      <c r="I9" s="20" t="str">
        <f>VLOOKUP(B9,'[1]BILLING &amp; PAY SHEET'!$C$9:$H$109,6,0)</f>
        <v>13.10.2000</v>
      </c>
      <c r="J9" s="20" t="str">
        <f>VLOOKUP(B9,'[1]BILLING &amp; PAY SHEET'!$C$9:$I$109,7,0)</f>
        <v>20.09.2023</v>
      </c>
      <c r="K9" s="20" t="s">
        <v>67</v>
      </c>
      <c r="L9" s="20" t="s">
        <v>69</v>
      </c>
      <c r="M9" s="20" t="s">
        <v>539</v>
      </c>
      <c r="N9" s="4" t="s">
        <v>144</v>
      </c>
      <c r="O9" s="20" t="s">
        <v>542</v>
      </c>
      <c r="P9" s="20" t="s">
        <v>68</v>
      </c>
      <c r="Q9" s="23" t="s">
        <v>545</v>
      </c>
      <c r="R9" s="20" t="s">
        <v>46</v>
      </c>
      <c r="S9" s="20" t="s">
        <v>155</v>
      </c>
      <c r="T9" s="20" t="s">
        <v>43</v>
      </c>
      <c r="U9" s="20"/>
      <c r="V9" s="20" t="s">
        <v>548</v>
      </c>
      <c r="W9" s="24" t="s">
        <v>641</v>
      </c>
      <c r="X9" s="20"/>
      <c r="Y9" s="23" t="e">
        <f>VLOOKUP(#REF!,[2]Sheet4!$C$2:$F$141,4,0)</f>
        <v>#REF!</v>
      </c>
      <c r="Z9" s="23">
        <v>825712414940</v>
      </c>
      <c r="AA9" s="20">
        <v>7507269385</v>
      </c>
      <c r="AB9" s="20" t="s">
        <v>1319</v>
      </c>
      <c r="AC9" s="20"/>
      <c r="AD9" s="20" t="s">
        <v>424</v>
      </c>
      <c r="AE9" s="20">
        <v>7507269385</v>
      </c>
      <c r="AF9" s="20"/>
      <c r="AG9" s="25" t="s">
        <v>699</v>
      </c>
      <c r="AH9" s="20" t="s">
        <v>757</v>
      </c>
      <c r="AI9" s="5" t="s">
        <v>799</v>
      </c>
      <c r="AJ9" s="20" t="s">
        <v>782</v>
      </c>
      <c r="AK9" s="20">
        <v>425408</v>
      </c>
      <c r="AL9" s="25" t="s">
        <v>699</v>
      </c>
      <c r="AM9" s="20" t="s">
        <v>757</v>
      </c>
      <c r="AN9" s="5" t="s">
        <v>799</v>
      </c>
      <c r="AO9" s="20" t="s">
        <v>782</v>
      </c>
      <c r="AP9" s="20">
        <v>425408</v>
      </c>
      <c r="AQ9" s="26" t="s">
        <v>839</v>
      </c>
      <c r="AR9" s="27" t="s">
        <v>857</v>
      </c>
      <c r="AS9" s="28" t="s">
        <v>894</v>
      </c>
      <c r="AT9" s="60" t="s">
        <v>256</v>
      </c>
    </row>
    <row r="10" spans="1:46" x14ac:dyDescent="0.25">
      <c r="A10" s="20">
        <v>5</v>
      </c>
      <c r="B10" s="21" t="s">
        <v>161</v>
      </c>
      <c r="C10" s="20" t="s">
        <v>50</v>
      </c>
      <c r="D10" s="22" t="s">
        <v>353</v>
      </c>
      <c r="E10" s="22" t="s">
        <v>425</v>
      </c>
      <c r="F10" s="22" t="s">
        <v>492</v>
      </c>
      <c r="G10" s="20" t="s">
        <v>64</v>
      </c>
      <c r="H10" s="20"/>
      <c r="I10" s="20" t="s">
        <v>1040</v>
      </c>
      <c r="J10" s="20" t="str">
        <f>VLOOKUP(B10,'[1]BILLING &amp; PAY SHEET'!$C$9:$I$109,7,0)</f>
        <v>20.09.2023</v>
      </c>
      <c r="K10" s="20" t="s">
        <v>67</v>
      </c>
      <c r="L10" s="20" t="s">
        <v>69</v>
      </c>
      <c r="M10" s="20" t="s">
        <v>539</v>
      </c>
      <c r="N10" s="4" t="s">
        <v>144</v>
      </c>
      <c r="O10" s="20" t="s">
        <v>542</v>
      </c>
      <c r="P10" s="20" t="s">
        <v>68</v>
      </c>
      <c r="Q10" s="23" t="s">
        <v>545</v>
      </c>
      <c r="R10" s="20" t="s">
        <v>46</v>
      </c>
      <c r="S10" s="20" t="s">
        <v>155</v>
      </c>
      <c r="T10" s="20" t="s">
        <v>43</v>
      </c>
      <c r="U10" s="20"/>
      <c r="V10" s="20" t="s">
        <v>549</v>
      </c>
      <c r="W10" s="24" t="s">
        <v>642</v>
      </c>
      <c r="X10" s="20"/>
      <c r="Y10" s="23" t="e">
        <f>VLOOKUP(#REF!,[2]Sheet4!$C$2:$F$141,4,0)</f>
        <v>#REF!</v>
      </c>
      <c r="Z10" s="23">
        <v>640238202423</v>
      </c>
      <c r="AA10" s="20">
        <v>9970895928</v>
      </c>
      <c r="AB10" s="20" t="s">
        <v>1185</v>
      </c>
      <c r="AC10" s="20"/>
      <c r="AD10" s="20" t="s">
        <v>425</v>
      </c>
      <c r="AE10" s="20">
        <v>9970895928</v>
      </c>
      <c r="AF10" s="20"/>
      <c r="AG10" s="25" t="s">
        <v>700</v>
      </c>
      <c r="AH10" s="20" t="s">
        <v>758</v>
      </c>
      <c r="AI10" s="5" t="s">
        <v>799</v>
      </c>
      <c r="AJ10" s="20" t="s">
        <v>783</v>
      </c>
      <c r="AK10" s="20">
        <v>424305</v>
      </c>
      <c r="AL10" s="25" t="s">
        <v>700</v>
      </c>
      <c r="AM10" s="20" t="s">
        <v>758</v>
      </c>
      <c r="AN10" s="5" t="s">
        <v>799</v>
      </c>
      <c r="AO10" s="20" t="s">
        <v>783</v>
      </c>
      <c r="AP10" s="20">
        <v>424305</v>
      </c>
      <c r="AQ10" s="26" t="s">
        <v>841</v>
      </c>
      <c r="AR10" s="27">
        <v>3168608530</v>
      </c>
      <c r="AS10" s="28" t="s">
        <v>897</v>
      </c>
      <c r="AT10" s="60" t="s">
        <v>257</v>
      </c>
    </row>
    <row r="11" spans="1:46" x14ac:dyDescent="0.25">
      <c r="A11" s="20">
        <v>6</v>
      </c>
      <c r="B11" s="21" t="s">
        <v>162</v>
      </c>
      <c r="C11" s="20" t="s">
        <v>50</v>
      </c>
      <c r="D11" s="22" t="s">
        <v>354</v>
      </c>
      <c r="E11" s="22" t="s">
        <v>426</v>
      </c>
      <c r="F11" s="22" t="s">
        <v>493</v>
      </c>
      <c r="G11" s="20" t="s">
        <v>64</v>
      </c>
      <c r="H11" s="20"/>
      <c r="I11" s="20" t="str">
        <f>VLOOKUP(B11,'[1]BILLING &amp; PAY SHEET'!$C$9:$H$109,6,0)</f>
        <v>28.07.1994</v>
      </c>
      <c r="J11" s="20" t="str">
        <f>VLOOKUP(B11,'[1]BILLING &amp; PAY SHEET'!$C$9:$I$109,7,0)</f>
        <v>20.09.2023</v>
      </c>
      <c r="K11" s="20" t="s">
        <v>67</v>
      </c>
      <c r="L11" s="20" t="s">
        <v>69</v>
      </c>
      <c r="M11" s="20" t="s">
        <v>539</v>
      </c>
      <c r="N11" s="4" t="s">
        <v>144</v>
      </c>
      <c r="O11" s="20" t="s">
        <v>542</v>
      </c>
      <c r="P11" s="20" t="s">
        <v>68</v>
      </c>
      <c r="Q11" s="23" t="s">
        <v>545</v>
      </c>
      <c r="R11" s="20" t="s">
        <v>46</v>
      </c>
      <c r="S11" s="20" t="s">
        <v>155</v>
      </c>
      <c r="T11" s="20" t="s">
        <v>43</v>
      </c>
      <c r="U11" s="20"/>
      <c r="V11" s="20" t="s">
        <v>550</v>
      </c>
      <c r="W11" s="24" t="s">
        <v>643</v>
      </c>
      <c r="X11" s="20"/>
      <c r="Y11" s="23" t="e">
        <f>VLOOKUP(#REF!,[2]Sheet4!$C$2:$F$141,4,0)</f>
        <v>#REF!</v>
      </c>
      <c r="Z11" s="23">
        <v>402057814448</v>
      </c>
      <c r="AA11" s="20">
        <v>9307381629</v>
      </c>
      <c r="AB11" s="20" t="s">
        <v>1319</v>
      </c>
      <c r="AC11" s="20"/>
      <c r="AD11" s="20" t="s">
        <v>426</v>
      </c>
      <c r="AE11" s="20">
        <v>9307381629</v>
      </c>
      <c r="AF11" s="20"/>
      <c r="AG11" s="25" t="s">
        <v>700</v>
      </c>
      <c r="AH11" s="20" t="s">
        <v>758</v>
      </c>
      <c r="AI11" s="5" t="s">
        <v>799</v>
      </c>
      <c r="AJ11" s="20" t="s">
        <v>783</v>
      </c>
      <c r="AK11" s="20">
        <v>424305</v>
      </c>
      <c r="AL11" s="25" t="s">
        <v>700</v>
      </c>
      <c r="AM11" s="20" t="s">
        <v>758</v>
      </c>
      <c r="AN11" s="5" t="s">
        <v>799</v>
      </c>
      <c r="AO11" s="20" t="s">
        <v>783</v>
      </c>
      <c r="AP11" s="20">
        <v>424305</v>
      </c>
      <c r="AQ11" s="26" t="s">
        <v>840</v>
      </c>
      <c r="AR11" s="27" t="s">
        <v>858</v>
      </c>
      <c r="AS11" s="28" t="s">
        <v>898</v>
      </c>
      <c r="AT11" s="60" t="s">
        <v>258</v>
      </c>
    </row>
    <row r="12" spans="1:46" x14ac:dyDescent="0.25">
      <c r="A12" s="20">
        <v>7</v>
      </c>
      <c r="B12" s="21" t="s">
        <v>163</v>
      </c>
      <c r="C12" s="20" t="s">
        <v>50</v>
      </c>
      <c r="D12" s="22" t="s">
        <v>355</v>
      </c>
      <c r="E12" s="22" t="s">
        <v>427</v>
      </c>
      <c r="F12" s="22" t="s">
        <v>494</v>
      </c>
      <c r="G12" s="20" t="s">
        <v>64</v>
      </c>
      <c r="H12" s="20"/>
      <c r="I12" s="20" t="str">
        <f>VLOOKUP(B12,'[1]BILLING &amp; PAY SHEET'!$C$9:$H$109,6,0)</f>
        <v>25.12.1990</v>
      </c>
      <c r="J12" s="20" t="str">
        <f>VLOOKUP(B12,'[1]BILLING &amp; PAY SHEET'!$C$9:$I$109,7,0)</f>
        <v>20.09.2023</v>
      </c>
      <c r="K12" s="20" t="s">
        <v>67</v>
      </c>
      <c r="L12" s="20" t="s">
        <v>69</v>
      </c>
      <c r="M12" s="20" t="s">
        <v>539</v>
      </c>
      <c r="N12" s="4" t="s">
        <v>144</v>
      </c>
      <c r="O12" s="20" t="s">
        <v>542</v>
      </c>
      <c r="P12" s="20" t="s">
        <v>68</v>
      </c>
      <c r="Q12" s="23" t="s">
        <v>545</v>
      </c>
      <c r="R12" s="20" t="s">
        <v>46</v>
      </c>
      <c r="S12" s="20" t="s">
        <v>155</v>
      </c>
      <c r="T12" s="20" t="s">
        <v>43</v>
      </c>
      <c r="U12" s="20"/>
      <c r="V12" s="20" t="s">
        <v>551</v>
      </c>
      <c r="W12" s="24" t="s">
        <v>644</v>
      </c>
      <c r="X12" s="20"/>
      <c r="Y12" s="23" t="e">
        <f>VLOOKUP(#REF!,[2]Sheet4!$C$2:$F$141,4,0)</f>
        <v>#REF!</v>
      </c>
      <c r="Z12" s="23">
        <v>920060681542</v>
      </c>
      <c r="AA12" s="20">
        <v>7507820235</v>
      </c>
      <c r="AB12" s="20" t="s">
        <v>1185</v>
      </c>
      <c r="AC12" s="20"/>
      <c r="AD12" s="20" t="s">
        <v>427</v>
      </c>
      <c r="AE12" s="20">
        <v>7507820235</v>
      </c>
      <c r="AF12" s="20"/>
      <c r="AG12" s="25" t="s">
        <v>701</v>
      </c>
      <c r="AH12" s="20" t="s">
        <v>759</v>
      </c>
      <c r="AI12" s="5" t="s">
        <v>799</v>
      </c>
      <c r="AJ12" s="20" t="s">
        <v>784</v>
      </c>
      <c r="AK12" s="20">
        <v>424304</v>
      </c>
      <c r="AL12" s="25" t="s">
        <v>701</v>
      </c>
      <c r="AM12" s="20" t="s">
        <v>759</v>
      </c>
      <c r="AN12" s="5" t="s">
        <v>799</v>
      </c>
      <c r="AO12" s="20" t="s">
        <v>784</v>
      </c>
      <c r="AP12" s="20">
        <v>424304</v>
      </c>
      <c r="AQ12" s="26" t="s">
        <v>842</v>
      </c>
      <c r="AR12" s="30">
        <v>341502010038237</v>
      </c>
      <c r="AS12" s="28" t="s">
        <v>899</v>
      </c>
      <c r="AT12" s="60" t="s">
        <v>259</v>
      </c>
    </row>
    <row r="13" spans="1:46" x14ac:dyDescent="0.25">
      <c r="A13" s="20">
        <v>8</v>
      </c>
      <c r="B13" s="21" t="s">
        <v>164</v>
      </c>
      <c r="C13" s="20" t="s">
        <v>50</v>
      </c>
      <c r="D13" s="22" t="s">
        <v>356</v>
      </c>
      <c r="E13" s="22" t="s">
        <v>428</v>
      </c>
      <c r="F13" s="22" t="s">
        <v>495</v>
      </c>
      <c r="G13" s="20" t="s">
        <v>64</v>
      </c>
      <c r="H13" s="20"/>
      <c r="I13" s="20" t="str">
        <f>VLOOKUP(B13,'[1]BILLING &amp; PAY SHEET'!$C$9:$H$109,6,0)</f>
        <v>30.08.2002</v>
      </c>
      <c r="J13" s="20" t="str">
        <f>VLOOKUP(B13,'[1]BILLING &amp; PAY SHEET'!$C$9:$I$109,7,0)</f>
        <v>20.09.2023</v>
      </c>
      <c r="K13" s="20" t="s">
        <v>67</v>
      </c>
      <c r="L13" s="20" t="s">
        <v>69</v>
      </c>
      <c r="M13" s="20" t="s">
        <v>539</v>
      </c>
      <c r="N13" s="4" t="s">
        <v>144</v>
      </c>
      <c r="O13" s="20" t="s">
        <v>542</v>
      </c>
      <c r="P13" s="20" t="s">
        <v>68</v>
      </c>
      <c r="Q13" s="23" t="s">
        <v>545</v>
      </c>
      <c r="R13" s="20" t="s">
        <v>46</v>
      </c>
      <c r="S13" s="20" t="s">
        <v>155</v>
      </c>
      <c r="T13" s="20" t="s">
        <v>43</v>
      </c>
      <c r="U13" s="20"/>
      <c r="V13" s="20" t="s">
        <v>552</v>
      </c>
      <c r="W13" s="24" t="s">
        <v>645</v>
      </c>
      <c r="X13" s="20"/>
      <c r="Y13" s="23" t="e">
        <f>VLOOKUP(#REF!,[2]Sheet4!$C$2:$F$141,4,0)</f>
        <v>#REF!</v>
      </c>
      <c r="Z13" s="23">
        <v>748942643753</v>
      </c>
      <c r="AA13" s="20">
        <v>8378816852</v>
      </c>
      <c r="AB13" s="20" t="s">
        <v>1319</v>
      </c>
      <c r="AC13" s="20"/>
      <c r="AD13" s="20" t="s">
        <v>428</v>
      </c>
      <c r="AE13" s="20">
        <v>8378816852</v>
      </c>
      <c r="AF13" s="20"/>
      <c r="AG13" s="25" t="s">
        <v>702</v>
      </c>
      <c r="AH13" s="20" t="s">
        <v>760</v>
      </c>
      <c r="AI13" s="5" t="s">
        <v>799</v>
      </c>
      <c r="AJ13" s="20" t="s">
        <v>781</v>
      </c>
      <c r="AK13" s="20">
        <v>424305</v>
      </c>
      <c r="AL13" s="25" t="s">
        <v>702</v>
      </c>
      <c r="AM13" s="20" t="s">
        <v>760</v>
      </c>
      <c r="AN13" s="5" t="s">
        <v>799</v>
      </c>
      <c r="AO13" s="20" t="s">
        <v>781</v>
      </c>
      <c r="AP13" s="20">
        <v>424305</v>
      </c>
      <c r="AQ13" s="26" t="s">
        <v>840</v>
      </c>
      <c r="AR13" s="27" t="s">
        <v>859</v>
      </c>
      <c r="AS13" s="28" t="s">
        <v>895</v>
      </c>
      <c r="AT13" s="60" t="s">
        <v>260</v>
      </c>
    </row>
    <row r="14" spans="1:46" x14ac:dyDescent="0.25">
      <c r="A14" s="20">
        <v>9</v>
      </c>
      <c r="B14" s="21" t="s">
        <v>165</v>
      </c>
      <c r="C14" s="20" t="s">
        <v>50</v>
      </c>
      <c r="D14" s="22" t="s">
        <v>357</v>
      </c>
      <c r="E14" s="22" t="s">
        <v>429</v>
      </c>
      <c r="F14" s="22" t="s">
        <v>496</v>
      </c>
      <c r="G14" s="20" t="s">
        <v>64</v>
      </c>
      <c r="H14" s="20"/>
      <c r="I14" s="20" t="str">
        <f>VLOOKUP(B14,'[1]BILLING &amp; PAY SHEET'!$C$9:$H$109,6,0)</f>
        <v>27.12.2004</v>
      </c>
      <c r="J14" s="20" t="str">
        <f>VLOOKUP(B14,'[1]BILLING &amp; PAY SHEET'!$C$9:$I$109,7,0)</f>
        <v>20.09.2023</v>
      </c>
      <c r="K14" s="20" t="s">
        <v>67</v>
      </c>
      <c r="L14" s="20" t="s">
        <v>69</v>
      </c>
      <c r="M14" s="20" t="s">
        <v>539</v>
      </c>
      <c r="N14" s="4" t="s">
        <v>144</v>
      </c>
      <c r="O14" s="20" t="s">
        <v>542</v>
      </c>
      <c r="P14" s="20" t="s">
        <v>68</v>
      </c>
      <c r="Q14" s="23" t="s">
        <v>545</v>
      </c>
      <c r="R14" s="20" t="s">
        <v>46</v>
      </c>
      <c r="S14" s="20" t="s">
        <v>155</v>
      </c>
      <c r="T14" s="20" t="s">
        <v>43</v>
      </c>
      <c r="U14" s="20"/>
      <c r="V14" s="20" t="s">
        <v>553</v>
      </c>
      <c r="W14" s="24" t="s">
        <v>646</v>
      </c>
      <c r="X14" s="20"/>
      <c r="Y14" s="23" t="e">
        <f>VLOOKUP(#REF!,[2]Sheet4!$C$2:$F$141,4,0)</f>
        <v>#REF!</v>
      </c>
      <c r="Z14" s="23">
        <v>721879424703</v>
      </c>
      <c r="AA14" s="20">
        <v>7020396444</v>
      </c>
      <c r="AB14" s="20" t="s">
        <v>1319</v>
      </c>
      <c r="AC14" s="20"/>
      <c r="AD14" s="20" t="s">
        <v>429</v>
      </c>
      <c r="AE14" s="20">
        <v>7020396444</v>
      </c>
      <c r="AF14" s="20"/>
      <c r="AG14" s="25" t="s">
        <v>698</v>
      </c>
      <c r="AH14" s="20" t="s">
        <v>756</v>
      </c>
      <c r="AI14" s="5" t="s">
        <v>799</v>
      </c>
      <c r="AJ14" s="20" t="s">
        <v>781</v>
      </c>
      <c r="AK14" s="20">
        <v>424305</v>
      </c>
      <c r="AL14" s="25" t="s">
        <v>698</v>
      </c>
      <c r="AM14" s="20" t="s">
        <v>756</v>
      </c>
      <c r="AN14" s="5" t="s">
        <v>799</v>
      </c>
      <c r="AO14" s="20" t="s">
        <v>781</v>
      </c>
      <c r="AP14" s="20">
        <v>424305</v>
      </c>
      <c r="AQ14" s="26" t="s">
        <v>841</v>
      </c>
      <c r="AR14" s="27">
        <v>3982508152</v>
      </c>
      <c r="AS14" s="28" t="s">
        <v>897</v>
      </c>
      <c r="AT14" s="60" t="s">
        <v>261</v>
      </c>
    </row>
    <row r="15" spans="1:46" x14ac:dyDescent="0.25">
      <c r="A15" s="20">
        <v>10</v>
      </c>
      <c r="B15" s="21" t="s">
        <v>166</v>
      </c>
      <c r="C15" s="20" t="s">
        <v>50</v>
      </c>
      <c r="D15" s="22" t="s">
        <v>358</v>
      </c>
      <c r="E15" s="22" t="s">
        <v>430</v>
      </c>
      <c r="F15" s="22" t="s">
        <v>491</v>
      </c>
      <c r="G15" s="20" t="s">
        <v>64</v>
      </c>
      <c r="H15" s="20"/>
      <c r="I15" s="20" t="str">
        <f>VLOOKUP(B15,'[1]BILLING &amp; PAY SHEET'!$C$9:$H$109,6,0)</f>
        <v>18.01.1991</v>
      </c>
      <c r="J15" s="20" t="str">
        <f>VLOOKUP(B15,'[1]BILLING &amp; PAY SHEET'!$C$9:$I$109,7,0)</f>
        <v>20.09.2023</v>
      </c>
      <c r="K15" s="20" t="s">
        <v>67</v>
      </c>
      <c r="L15" s="20" t="s">
        <v>69</v>
      </c>
      <c r="M15" s="20" t="s">
        <v>539</v>
      </c>
      <c r="N15" s="4" t="s">
        <v>144</v>
      </c>
      <c r="O15" s="20" t="s">
        <v>542</v>
      </c>
      <c r="P15" s="20" t="s">
        <v>68</v>
      </c>
      <c r="Q15" s="23" t="s">
        <v>545</v>
      </c>
      <c r="R15" s="20" t="s">
        <v>46</v>
      </c>
      <c r="S15" s="20" t="s">
        <v>155</v>
      </c>
      <c r="T15" s="20" t="s">
        <v>43</v>
      </c>
      <c r="U15" s="20"/>
      <c r="V15" s="20" t="s">
        <v>554</v>
      </c>
      <c r="W15" s="24" t="s">
        <v>647</v>
      </c>
      <c r="X15" s="20"/>
      <c r="Y15" s="23" t="e">
        <f>VLOOKUP(#REF!,[2]Sheet4!$C$2:$F$141,4,0)</f>
        <v>#REF!</v>
      </c>
      <c r="Z15" s="23">
        <v>444847539333</v>
      </c>
      <c r="AA15" s="20">
        <v>9359567213</v>
      </c>
      <c r="AB15" s="20" t="s">
        <v>1185</v>
      </c>
      <c r="AC15" s="20"/>
      <c r="AD15" s="20" t="s">
        <v>430</v>
      </c>
      <c r="AE15" s="20">
        <v>9359567213</v>
      </c>
      <c r="AF15" s="20"/>
      <c r="AG15" s="25" t="s">
        <v>703</v>
      </c>
      <c r="AH15" s="20" t="s">
        <v>755</v>
      </c>
      <c r="AI15" s="5" t="s">
        <v>799</v>
      </c>
      <c r="AJ15" s="20" t="s">
        <v>781</v>
      </c>
      <c r="AK15" s="20">
        <v>424305</v>
      </c>
      <c r="AL15" s="25" t="s">
        <v>703</v>
      </c>
      <c r="AM15" s="20" t="s">
        <v>755</v>
      </c>
      <c r="AN15" s="5" t="s">
        <v>799</v>
      </c>
      <c r="AO15" s="20" t="s">
        <v>781</v>
      </c>
      <c r="AP15" s="20">
        <v>424305</v>
      </c>
      <c r="AQ15" s="26" t="s">
        <v>840</v>
      </c>
      <c r="AR15" s="27" t="s">
        <v>860</v>
      </c>
      <c r="AS15" s="28" t="s">
        <v>895</v>
      </c>
      <c r="AT15" s="60" t="s">
        <v>262</v>
      </c>
    </row>
    <row r="16" spans="1:46" x14ac:dyDescent="0.25">
      <c r="A16" s="20">
        <v>11</v>
      </c>
      <c r="B16" s="21" t="s">
        <v>167</v>
      </c>
      <c r="C16" s="20" t="s">
        <v>50</v>
      </c>
      <c r="D16" s="22" t="s">
        <v>359</v>
      </c>
      <c r="E16" s="22" t="s">
        <v>431</v>
      </c>
      <c r="F16" s="22" t="s">
        <v>488</v>
      </c>
      <c r="G16" s="20" t="s">
        <v>64</v>
      </c>
      <c r="H16" s="20"/>
      <c r="I16" s="20" t="str">
        <f>VLOOKUP(B16,'[1]BILLING &amp; PAY SHEET'!$C$9:$H$109,6,0)</f>
        <v>25.04.1990</v>
      </c>
      <c r="J16" s="20" t="str">
        <f>VLOOKUP(B16,'[1]BILLING &amp; PAY SHEET'!$C$9:$I$109,7,0)</f>
        <v>20.09.2023</v>
      </c>
      <c r="K16" s="20" t="s">
        <v>67</v>
      </c>
      <c r="L16" s="20" t="s">
        <v>69</v>
      </c>
      <c r="M16" s="20" t="s">
        <v>539</v>
      </c>
      <c r="N16" s="4" t="s">
        <v>144</v>
      </c>
      <c r="O16" s="20" t="s">
        <v>542</v>
      </c>
      <c r="P16" s="20" t="s">
        <v>68</v>
      </c>
      <c r="Q16" s="23" t="s">
        <v>545</v>
      </c>
      <c r="R16" s="20" t="s">
        <v>46</v>
      </c>
      <c r="S16" s="20" t="s">
        <v>155</v>
      </c>
      <c r="T16" s="20" t="s">
        <v>43</v>
      </c>
      <c r="U16" s="20"/>
      <c r="V16" s="20" t="s">
        <v>555</v>
      </c>
      <c r="W16" s="24" t="s">
        <v>648</v>
      </c>
      <c r="X16" s="20"/>
      <c r="Y16" s="23" t="e">
        <f>VLOOKUP(#REF!,[2]Sheet4!$C$2:$F$141,4,0)</f>
        <v>#REF!</v>
      </c>
      <c r="Z16" s="23">
        <v>905618105821</v>
      </c>
      <c r="AA16" s="20">
        <v>9637919460</v>
      </c>
      <c r="AB16" s="20" t="s">
        <v>1319</v>
      </c>
      <c r="AC16" s="20"/>
      <c r="AD16" s="20" t="s">
        <v>431</v>
      </c>
      <c r="AE16" s="20">
        <v>9637919460</v>
      </c>
      <c r="AF16" s="20"/>
      <c r="AG16" s="25" t="s">
        <v>699</v>
      </c>
      <c r="AH16" s="20" t="s">
        <v>757</v>
      </c>
      <c r="AI16" s="5" t="s">
        <v>799</v>
      </c>
      <c r="AJ16" s="20" t="s">
        <v>782</v>
      </c>
      <c r="AK16" s="20">
        <v>425408</v>
      </c>
      <c r="AL16" s="25" t="s">
        <v>699</v>
      </c>
      <c r="AM16" s="20" t="s">
        <v>757</v>
      </c>
      <c r="AN16" s="5" t="s">
        <v>799</v>
      </c>
      <c r="AO16" s="20" t="s">
        <v>782</v>
      </c>
      <c r="AP16" s="20">
        <v>425408</v>
      </c>
      <c r="AQ16" s="26" t="s">
        <v>842</v>
      </c>
      <c r="AR16" s="27" t="s">
        <v>861</v>
      </c>
      <c r="AS16" s="28" t="s">
        <v>900</v>
      </c>
      <c r="AT16" s="60" t="s">
        <v>263</v>
      </c>
    </row>
    <row r="17" spans="1:46" x14ac:dyDescent="0.25">
      <c r="A17" s="20">
        <v>12</v>
      </c>
      <c r="B17" s="21" t="s">
        <v>168</v>
      </c>
      <c r="C17" s="20" t="s">
        <v>50</v>
      </c>
      <c r="D17" s="22" t="s">
        <v>360</v>
      </c>
      <c r="E17" s="22" t="s">
        <v>432</v>
      </c>
      <c r="F17" s="22" t="s">
        <v>497</v>
      </c>
      <c r="G17" s="20" t="s">
        <v>64</v>
      </c>
      <c r="H17" s="20"/>
      <c r="I17" s="20" t="str">
        <f>VLOOKUP(B17,'[1]BILLING &amp; PAY SHEET'!$C$9:$H$109,6,0)</f>
        <v>07.08.2003</v>
      </c>
      <c r="J17" s="20" t="str">
        <f>VLOOKUP(B17,'[1]BILLING &amp; PAY SHEET'!$C$9:$I$109,7,0)</f>
        <v>20.09.2023</v>
      </c>
      <c r="K17" s="20" t="s">
        <v>67</v>
      </c>
      <c r="L17" s="20" t="s">
        <v>69</v>
      </c>
      <c r="M17" s="20" t="s">
        <v>539</v>
      </c>
      <c r="N17" s="4" t="s">
        <v>144</v>
      </c>
      <c r="O17" s="20" t="s">
        <v>542</v>
      </c>
      <c r="P17" s="20" t="s">
        <v>68</v>
      </c>
      <c r="Q17" s="23" t="s">
        <v>545</v>
      </c>
      <c r="R17" s="20" t="s">
        <v>46</v>
      </c>
      <c r="S17" s="20" t="s">
        <v>155</v>
      </c>
      <c r="T17" s="20" t="s">
        <v>43</v>
      </c>
      <c r="U17" s="20"/>
      <c r="V17" s="20" t="s">
        <v>556</v>
      </c>
      <c r="W17" s="24" t="s">
        <v>649</v>
      </c>
      <c r="X17" s="20"/>
      <c r="Y17" s="23" t="e">
        <f>VLOOKUP(#REF!,[2]Sheet4!$C$2:$F$141,4,0)</f>
        <v>#REF!</v>
      </c>
      <c r="Z17" s="23">
        <v>846741519943</v>
      </c>
      <c r="AA17" s="20">
        <v>9322351958</v>
      </c>
      <c r="AB17" s="20" t="s">
        <v>1319</v>
      </c>
      <c r="AC17" s="20"/>
      <c r="AD17" s="20" t="s">
        <v>432</v>
      </c>
      <c r="AE17" s="20">
        <v>9322351958</v>
      </c>
      <c r="AF17" s="20"/>
      <c r="AG17" s="25" t="s">
        <v>698</v>
      </c>
      <c r="AH17" s="20" t="s">
        <v>756</v>
      </c>
      <c r="AI17" s="5" t="s">
        <v>799</v>
      </c>
      <c r="AJ17" s="20" t="s">
        <v>781</v>
      </c>
      <c r="AK17" s="20">
        <v>424305</v>
      </c>
      <c r="AL17" s="25" t="s">
        <v>698</v>
      </c>
      <c r="AM17" s="20" t="s">
        <v>756</v>
      </c>
      <c r="AN17" s="5" t="s">
        <v>799</v>
      </c>
      <c r="AO17" s="20" t="s">
        <v>781</v>
      </c>
      <c r="AP17" s="20">
        <v>424305</v>
      </c>
      <c r="AQ17" s="26" t="s">
        <v>841</v>
      </c>
      <c r="AR17" s="27">
        <v>5273211345</v>
      </c>
      <c r="AS17" s="28" t="s">
        <v>897</v>
      </c>
      <c r="AT17" s="60" t="s">
        <v>264</v>
      </c>
    </row>
    <row r="18" spans="1:46" x14ac:dyDescent="0.25">
      <c r="A18" s="20">
        <v>13</v>
      </c>
      <c r="B18" s="21" t="s">
        <v>169</v>
      </c>
      <c r="C18" s="20" t="s">
        <v>50</v>
      </c>
      <c r="D18" s="22" t="s">
        <v>361</v>
      </c>
      <c r="E18" s="22" t="s">
        <v>433</v>
      </c>
      <c r="F18" s="22" t="s">
        <v>492</v>
      </c>
      <c r="G18" s="20" t="s">
        <v>64</v>
      </c>
      <c r="H18" s="20"/>
      <c r="I18" s="20" t="str">
        <f>VLOOKUP(B18,'[1]BILLING &amp; PAY SHEET'!$C$9:$H$109,6,0)</f>
        <v>24.05.1999</v>
      </c>
      <c r="J18" s="20" t="str">
        <f>VLOOKUP(B18,'[1]BILLING &amp; PAY SHEET'!$C$9:$I$109,7,0)</f>
        <v>20.09.2023</v>
      </c>
      <c r="K18" s="20" t="s">
        <v>67</v>
      </c>
      <c r="L18" s="20" t="s">
        <v>69</v>
      </c>
      <c r="M18" s="20" t="s">
        <v>539</v>
      </c>
      <c r="N18" s="4" t="s">
        <v>144</v>
      </c>
      <c r="O18" s="20" t="s">
        <v>542</v>
      </c>
      <c r="P18" s="20" t="s">
        <v>68</v>
      </c>
      <c r="Q18" s="23" t="s">
        <v>545</v>
      </c>
      <c r="R18" s="20" t="s">
        <v>46</v>
      </c>
      <c r="S18" s="20" t="s">
        <v>155</v>
      </c>
      <c r="T18" s="20" t="s">
        <v>43</v>
      </c>
      <c r="U18" s="20"/>
      <c r="V18" s="20" t="s">
        <v>557</v>
      </c>
      <c r="W18" s="24" t="s">
        <v>650</v>
      </c>
      <c r="X18" s="20"/>
      <c r="Y18" s="23" t="e">
        <f>VLOOKUP(#REF!,[2]Sheet4!$C$2:$F$141,4,0)</f>
        <v>#REF!</v>
      </c>
      <c r="Z18" s="23">
        <v>730448069605</v>
      </c>
      <c r="AA18" s="20">
        <v>7038914671</v>
      </c>
      <c r="AB18" s="20" t="s">
        <v>1185</v>
      </c>
      <c r="AC18" s="20"/>
      <c r="AD18" s="20" t="s">
        <v>433</v>
      </c>
      <c r="AE18" s="20">
        <v>7038914671</v>
      </c>
      <c r="AF18" s="20"/>
      <c r="AG18" s="25" t="s">
        <v>702</v>
      </c>
      <c r="AH18" s="20" t="s">
        <v>760</v>
      </c>
      <c r="AI18" s="5" t="s">
        <v>799</v>
      </c>
      <c r="AJ18" s="20" t="s">
        <v>781</v>
      </c>
      <c r="AK18" s="20">
        <v>424305</v>
      </c>
      <c r="AL18" s="25" t="s">
        <v>702</v>
      </c>
      <c r="AM18" s="20" t="s">
        <v>760</v>
      </c>
      <c r="AN18" s="5" t="s">
        <v>799</v>
      </c>
      <c r="AO18" s="20" t="s">
        <v>781</v>
      </c>
      <c r="AP18" s="20">
        <v>424305</v>
      </c>
      <c r="AQ18" s="26" t="s">
        <v>840</v>
      </c>
      <c r="AR18" s="27">
        <v>33949298720</v>
      </c>
      <c r="AS18" s="28" t="s">
        <v>895</v>
      </c>
      <c r="AT18" s="60" t="s">
        <v>265</v>
      </c>
    </row>
    <row r="19" spans="1:46" x14ac:dyDescent="0.25">
      <c r="A19" s="20">
        <v>14</v>
      </c>
      <c r="B19" s="21" t="s">
        <v>170</v>
      </c>
      <c r="C19" s="20" t="s">
        <v>50</v>
      </c>
      <c r="D19" s="22" t="s">
        <v>362</v>
      </c>
      <c r="E19" s="22" t="s">
        <v>393</v>
      </c>
      <c r="F19" s="22" t="s">
        <v>492</v>
      </c>
      <c r="G19" s="20" t="s">
        <v>64</v>
      </c>
      <c r="H19" s="20"/>
      <c r="I19" s="20" t="str">
        <f>VLOOKUP(B19,'[1]BILLING &amp; PAY SHEET'!$C$9:$H$109,6,0)</f>
        <v>19.11.1995</v>
      </c>
      <c r="J19" s="20" t="str">
        <f>VLOOKUP(B19,'[1]BILLING &amp; PAY SHEET'!$C$9:$I$109,7,0)</f>
        <v>20.09.2023</v>
      </c>
      <c r="K19" s="20" t="s">
        <v>67</v>
      </c>
      <c r="L19" s="20" t="s">
        <v>69</v>
      </c>
      <c r="M19" s="20" t="s">
        <v>539</v>
      </c>
      <c r="N19" s="4" t="s">
        <v>144</v>
      </c>
      <c r="O19" s="20" t="s">
        <v>542</v>
      </c>
      <c r="P19" s="20" t="s">
        <v>68</v>
      </c>
      <c r="Q19" s="23" t="s">
        <v>545</v>
      </c>
      <c r="R19" s="20" t="s">
        <v>46</v>
      </c>
      <c r="S19" s="20" t="s">
        <v>155</v>
      </c>
      <c r="T19" s="20" t="s">
        <v>43</v>
      </c>
      <c r="U19" s="20"/>
      <c r="V19" s="20" t="s">
        <v>558</v>
      </c>
      <c r="W19" s="24">
        <v>2504926170</v>
      </c>
      <c r="X19" s="20"/>
      <c r="Y19" s="23" t="e">
        <f>VLOOKUP(#REF!,[2]Sheet4!$C$2:$F$141,4,0)</f>
        <v>#REF!</v>
      </c>
      <c r="Z19" s="23">
        <v>774009257913</v>
      </c>
      <c r="AA19" s="20">
        <v>8975415067</v>
      </c>
      <c r="AB19" s="20" t="s">
        <v>1319</v>
      </c>
      <c r="AC19" s="20"/>
      <c r="AD19" s="20" t="s">
        <v>393</v>
      </c>
      <c r="AE19" s="20">
        <v>8975415067</v>
      </c>
      <c r="AF19" s="20"/>
      <c r="AG19" s="25" t="s">
        <v>702</v>
      </c>
      <c r="AH19" s="20" t="s">
        <v>760</v>
      </c>
      <c r="AI19" s="5" t="s">
        <v>799</v>
      </c>
      <c r="AJ19" s="20" t="s">
        <v>781</v>
      </c>
      <c r="AK19" s="20">
        <v>424305</v>
      </c>
      <c r="AL19" s="25" t="s">
        <v>702</v>
      </c>
      <c r="AM19" s="20" t="s">
        <v>760</v>
      </c>
      <c r="AN19" s="5" t="s">
        <v>799</v>
      </c>
      <c r="AO19" s="20" t="s">
        <v>781</v>
      </c>
      <c r="AP19" s="20">
        <v>424305</v>
      </c>
      <c r="AQ19" s="26" t="s">
        <v>840</v>
      </c>
      <c r="AR19" s="27">
        <v>33391488393</v>
      </c>
      <c r="AS19" s="28" t="s">
        <v>895</v>
      </c>
      <c r="AT19" s="60" t="s">
        <v>266</v>
      </c>
    </row>
    <row r="20" spans="1:46" x14ac:dyDescent="0.25">
      <c r="A20" s="20">
        <v>15</v>
      </c>
      <c r="B20" s="21" t="s">
        <v>171</v>
      </c>
      <c r="C20" s="20" t="s">
        <v>50</v>
      </c>
      <c r="D20" s="22" t="s">
        <v>363</v>
      </c>
      <c r="E20" s="22" t="s">
        <v>434</v>
      </c>
      <c r="F20" s="22" t="s">
        <v>498</v>
      </c>
      <c r="G20" s="20" t="s">
        <v>64</v>
      </c>
      <c r="H20" s="20"/>
      <c r="I20" s="20" t="str">
        <f>VLOOKUP(B20,'[1]BILLING &amp; PAY SHEET'!$C$9:$H$109,6,0)</f>
        <v>10.12.1993</v>
      </c>
      <c r="J20" s="20" t="str">
        <f>VLOOKUP(B20,'[1]BILLING &amp; PAY SHEET'!$C$9:$I$109,7,0)</f>
        <v>20.09.2023</v>
      </c>
      <c r="K20" s="20" t="s">
        <v>67</v>
      </c>
      <c r="L20" s="20" t="s">
        <v>69</v>
      </c>
      <c r="M20" s="20" t="s">
        <v>539</v>
      </c>
      <c r="N20" s="4" t="s">
        <v>144</v>
      </c>
      <c r="O20" s="20" t="s">
        <v>542</v>
      </c>
      <c r="P20" s="20" t="s">
        <v>68</v>
      </c>
      <c r="Q20" s="23" t="s">
        <v>545</v>
      </c>
      <c r="R20" s="20" t="s">
        <v>46</v>
      </c>
      <c r="S20" s="20" t="s">
        <v>155</v>
      </c>
      <c r="T20" s="20" t="s">
        <v>43</v>
      </c>
      <c r="U20" s="20"/>
      <c r="V20" s="20" t="s">
        <v>559</v>
      </c>
      <c r="W20" s="24" t="s">
        <v>651</v>
      </c>
      <c r="X20" s="20"/>
      <c r="Y20" s="23" t="e">
        <f>VLOOKUP(#REF!,[2]Sheet4!$C$2:$F$141,4,0)</f>
        <v>#REF!</v>
      </c>
      <c r="Z20" s="23">
        <v>464525459469</v>
      </c>
      <c r="AA20" s="20">
        <v>7066570328</v>
      </c>
      <c r="AB20" s="20" t="s">
        <v>1185</v>
      </c>
      <c r="AC20" s="20"/>
      <c r="AD20" s="20" t="s">
        <v>434</v>
      </c>
      <c r="AE20" s="20">
        <v>7066570328</v>
      </c>
      <c r="AF20" s="20"/>
      <c r="AG20" s="25" t="s">
        <v>704</v>
      </c>
      <c r="AH20" s="20" t="s">
        <v>761</v>
      </c>
      <c r="AI20" s="5" t="s">
        <v>799</v>
      </c>
      <c r="AJ20" s="20" t="s">
        <v>779</v>
      </c>
      <c r="AK20" s="20">
        <v>425408</v>
      </c>
      <c r="AL20" s="25" t="s">
        <v>704</v>
      </c>
      <c r="AM20" s="20" t="s">
        <v>761</v>
      </c>
      <c r="AN20" s="5" t="s">
        <v>799</v>
      </c>
      <c r="AO20" s="20" t="s">
        <v>779</v>
      </c>
      <c r="AP20" s="20">
        <v>425408</v>
      </c>
      <c r="AQ20" s="26" t="s">
        <v>842</v>
      </c>
      <c r="AR20" s="27">
        <v>345902010085748</v>
      </c>
      <c r="AS20" s="28" t="s">
        <v>900</v>
      </c>
      <c r="AT20" s="60" t="s">
        <v>267</v>
      </c>
    </row>
    <row r="21" spans="1:46" x14ac:dyDescent="0.25">
      <c r="A21" s="20">
        <v>16</v>
      </c>
      <c r="B21" s="21" t="s">
        <v>172</v>
      </c>
      <c r="C21" s="20" t="s">
        <v>50</v>
      </c>
      <c r="D21" s="22" t="s">
        <v>364</v>
      </c>
      <c r="E21" s="22" t="s">
        <v>435</v>
      </c>
      <c r="F21" s="22" t="s">
        <v>499</v>
      </c>
      <c r="G21" s="20" t="s">
        <v>64</v>
      </c>
      <c r="H21" s="20"/>
      <c r="I21" s="20" t="str">
        <f>VLOOKUP(B21,'[1]BILLING &amp; PAY SHEET'!$C$9:$H$109,6,0)</f>
        <v>01.01.1996</v>
      </c>
      <c r="J21" s="20" t="str">
        <f>VLOOKUP(B21,'[1]BILLING &amp; PAY SHEET'!$C$9:$I$109,7,0)</f>
        <v>20.09.2023</v>
      </c>
      <c r="K21" s="20" t="s">
        <v>67</v>
      </c>
      <c r="L21" s="20" t="s">
        <v>69</v>
      </c>
      <c r="M21" s="20" t="s">
        <v>539</v>
      </c>
      <c r="N21" s="4" t="s">
        <v>144</v>
      </c>
      <c r="O21" s="20" t="s">
        <v>542</v>
      </c>
      <c r="P21" s="20" t="s">
        <v>68</v>
      </c>
      <c r="Q21" s="23" t="s">
        <v>545</v>
      </c>
      <c r="R21" s="20" t="s">
        <v>46</v>
      </c>
      <c r="S21" s="20" t="s">
        <v>155</v>
      </c>
      <c r="T21" s="20" t="s">
        <v>43</v>
      </c>
      <c r="U21" s="20"/>
      <c r="V21" s="20" t="s">
        <v>560</v>
      </c>
      <c r="W21" s="24" t="s">
        <v>652</v>
      </c>
      <c r="X21" s="20"/>
      <c r="Y21" s="23" t="e">
        <f>VLOOKUP(#REF!,[2]Sheet4!$C$2:$F$141,4,0)</f>
        <v>#REF!</v>
      </c>
      <c r="Z21" s="23">
        <v>491121101051</v>
      </c>
      <c r="AA21" s="20">
        <v>7741851960</v>
      </c>
      <c r="AB21" s="20" t="s">
        <v>1319</v>
      </c>
      <c r="AC21" s="20"/>
      <c r="AD21" s="20" t="s">
        <v>435</v>
      </c>
      <c r="AE21" s="20">
        <v>7741851960</v>
      </c>
      <c r="AF21" s="20"/>
      <c r="AG21" s="25" t="s">
        <v>700</v>
      </c>
      <c r="AH21" s="20" t="s">
        <v>758</v>
      </c>
      <c r="AI21" s="5" t="s">
        <v>799</v>
      </c>
      <c r="AJ21" s="20" t="s">
        <v>783</v>
      </c>
      <c r="AK21" s="20">
        <v>424305</v>
      </c>
      <c r="AL21" s="25" t="s">
        <v>700</v>
      </c>
      <c r="AM21" s="20" t="s">
        <v>758</v>
      </c>
      <c r="AN21" s="5" t="s">
        <v>799</v>
      </c>
      <c r="AO21" s="20" t="s">
        <v>783</v>
      </c>
      <c r="AP21" s="20">
        <v>424305</v>
      </c>
      <c r="AQ21" s="26" t="s">
        <v>839</v>
      </c>
      <c r="AR21" s="27">
        <v>80030435962</v>
      </c>
      <c r="AS21" s="28" t="s">
        <v>901</v>
      </c>
      <c r="AT21" s="60" t="s">
        <v>268</v>
      </c>
    </row>
    <row r="22" spans="1:46" x14ac:dyDescent="0.25">
      <c r="A22" s="20">
        <v>17</v>
      </c>
      <c r="B22" s="21" t="s">
        <v>173</v>
      </c>
      <c r="C22" s="20" t="s">
        <v>50</v>
      </c>
      <c r="D22" s="22" t="s">
        <v>365</v>
      </c>
      <c r="E22" s="22" t="s">
        <v>412</v>
      </c>
      <c r="F22" s="22" t="s">
        <v>500</v>
      </c>
      <c r="G22" s="20" t="s">
        <v>64</v>
      </c>
      <c r="H22" s="20"/>
      <c r="I22" s="20" t="str">
        <f>VLOOKUP(B22,'[1]BILLING &amp; PAY SHEET'!$C$9:$H$109,6,0)</f>
        <v>10.11.1999</v>
      </c>
      <c r="J22" s="20" t="str">
        <f>VLOOKUP(B22,'[1]BILLING &amp; PAY SHEET'!$C$9:$I$109,7,0)</f>
        <v>20.09.2023</v>
      </c>
      <c r="K22" s="20" t="s">
        <v>67</v>
      </c>
      <c r="L22" s="20" t="s">
        <v>69</v>
      </c>
      <c r="M22" s="20" t="s">
        <v>539</v>
      </c>
      <c r="N22" s="4" t="s">
        <v>144</v>
      </c>
      <c r="O22" s="20" t="s">
        <v>542</v>
      </c>
      <c r="P22" s="20" t="s">
        <v>68</v>
      </c>
      <c r="Q22" s="23" t="s">
        <v>545</v>
      </c>
      <c r="R22" s="20" t="s">
        <v>46</v>
      </c>
      <c r="S22" s="20" t="s">
        <v>155</v>
      </c>
      <c r="T22" s="20" t="s">
        <v>43</v>
      </c>
      <c r="U22" s="20"/>
      <c r="V22" s="20" t="s">
        <v>561</v>
      </c>
      <c r="W22" s="24" t="s">
        <v>653</v>
      </c>
      <c r="X22" s="20"/>
      <c r="Y22" s="23" t="e">
        <f>VLOOKUP(#REF!,[2]Sheet4!$C$2:$F$141,4,0)</f>
        <v>#REF!</v>
      </c>
      <c r="Z22" s="23">
        <v>473316942112</v>
      </c>
      <c r="AA22" s="20">
        <v>7558302314</v>
      </c>
      <c r="AB22" s="20" t="s">
        <v>1319</v>
      </c>
      <c r="AC22" s="20"/>
      <c r="AD22" s="20" t="s">
        <v>412</v>
      </c>
      <c r="AE22" s="20">
        <v>7558302314</v>
      </c>
      <c r="AF22" s="20"/>
      <c r="AG22" s="25" t="s">
        <v>700</v>
      </c>
      <c r="AH22" s="20" t="s">
        <v>758</v>
      </c>
      <c r="AI22" s="5" t="s">
        <v>799</v>
      </c>
      <c r="AJ22" s="20" t="s">
        <v>783</v>
      </c>
      <c r="AK22" s="20">
        <v>424305</v>
      </c>
      <c r="AL22" s="25" t="s">
        <v>700</v>
      </c>
      <c r="AM22" s="20" t="s">
        <v>758</v>
      </c>
      <c r="AN22" s="5" t="s">
        <v>799</v>
      </c>
      <c r="AO22" s="20" t="s">
        <v>783</v>
      </c>
      <c r="AP22" s="20">
        <v>424305</v>
      </c>
      <c r="AQ22" s="26" t="s">
        <v>841</v>
      </c>
      <c r="AR22" s="27">
        <v>3375883204</v>
      </c>
      <c r="AS22" s="28" t="s">
        <v>902</v>
      </c>
      <c r="AT22" s="60" t="s">
        <v>269</v>
      </c>
    </row>
    <row r="23" spans="1:46" x14ac:dyDescent="0.25">
      <c r="A23" s="20">
        <v>18</v>
      </c>
      <c r="B23" s="21" t="s">
        <v>174</v>
      </c>
      <c r="C23" s="20" t="s">
        <v>50</v>
      </c>
      <c r="D23" s="22" t="s">
        <v>366</v>
      </c>
      <c r="E23" s="22" t="s">
        <v>364</v>
      </c>
      <c r="F23" s="22" t="s">
        <v>501</v>
      </c>
      <c r="G23" s="20" t="s">
        <v>64</v>
      </c>
      <c r="H23" s="20"/>
      <c r="I23" s="20" t="str">
        <f>VLOOKUP(B23,'[1]BILLING &amp; PAY SHEET'!$C$9:$H$109,6,0)</f>
        <v>27.05.2000</v>
      </c>
      <c r="J23" s="20" t="str">
        <f>VLOOKUP(B23,'[1]BILLING &amp; PAY SHEET'!$C$9:$I$109,7,0)</f>
        <v>20.09.2023</v>
      </c>
      <c r="K23" s="20" t="s">
        <v>67</v>
      </c>
      <c r="L23" s="20" t="s">
        <v>69</v>
      </c>
      <c r="M23" s="20" t="s">
        <v>539</v>
      </c>
      <c r="N23" s="4" t="s">
        <v>144</v>
      </c>
      <c r="O23" s="20" t="s">
        <v>542</v>
      </c>
      <c r="P23" s="20" t="s">
        <v>68</v>
      </c>
      <c r="Q23" s="23" t="s">
        <v>545</v>
      </c>
      <c r="R23" s="20" t="s">
        <v>46</v>
      </c>
      <c r="S23" s="20" t="s">
        <v>155</v>
      </c>
      <c r="T23" s="20" t="s">
        <v>43</v>
      </c>
      <c r="U23" s="20"/>
      <c r="V23" s="20" t="s">
        <v>562</v>
      </c>
      <c r="W23" s="24" t="s">
        <v>654</v>
      </c>
      <c r="X23" s="20"/>
      <c r="Y23" s="23" t="e">
        <f>VLOOKUP(#REF!,[2]Sheet4!$C$2:$F$141,4,0)</f>
        <v>#REF!</v>
      </c>
      <c r="Z23" s="23">
        <v>222459192992</v>
      </c>
      <c r="AA23" s="20">
        <v>9673713891</v>
      </c>
      <c r="AB23" s="20" t="s">
        <v>1319</v>
      </c>
      <c r="AC23" s="20"/>
      <c r="AD23" s="20" t="s">
        <v>364</v>
      </c>
      <c r="AE23" s="20">
        <v>9673713891</v>
      </c>
      <c r="AF23" s="20"/>
      <c r="AG23" s="25" t="s">
        <v>705</v>
      </c>
      <c r="AH23" s="20" t="s">
        <v>762</v>
      </c>
      <c r="AI23" s="5" t="s">
        <v>799</v>
      </c>
      <c r="AJ23" s="20" t="s">
        <v>784</v>
      </c>
      <c r="AK23" s="20">
        <v>424305</v>
      </c>
      <c r="AL23" s="25" t="s">
        <v>705</v>
      </c>
      <c r="AM23" s="20" t="s">
        <v>762</v>
      </c>
      <c r="AN23" s="5" t="s">
        <v>799</v>
      </c>
      <c r="AO23" s="20" t="s">
        <v>784</v>
      </c>
      <c r="AP23" s="20">
        <v>424305</v>
      </c>
      <c r="AQ23" s="26" t="s">
        <v>840</v>
      </c>
      <c r="AR23" s="27">
        <v>34016471618</v>
      </c>
      <c r="AS23" s="28" t="s">
        <v>895</v>
      </c>
      <c r="AT23" s="60" t="s">
        <v>270</v>
      </c>
    </row>
    <row r="24" spans="1:46" x14ac:dyDescent="0.25">
      <c r="A24" s="20">
        <v>19</v>
      </c>
      <c r="B24" s="21" t="s">
        <v>175</v>
      </c>
      <c r="C24" s="20" t="s">
        <v>50</v>
      </c>
      <c r="D24" s="22" t="s">
        <v>367</v>
      </c>
      <c r="E24" s="22" t="s">
        <v>436</v>
      </c>
      <c r="F24" s="22" t="s">
        <v>499</v>
      </c>
      <c r="G24" s="20" t="s">
        <v>64</v>
      </c>
      <c r="H24" s="20"/>
      <c r="I24" s="20" t="str">
        <f>VLOOKUP(B24,'[1]BILLING &amp; PAY SHEET'!$C$9:$H$109,6,0)</f>
        <v>02.05.1991</v>
      </c>
      <c r="J24" s="20" t="str">
        <f>VLOOKUP(B24,'[1]BILLING &amp; PAY SHEET'!$C$9:$I$109,7,0)</f>
        <v>20.09.2023</v>
      </c>
      <c r="K24" s="20" t="s">
        <v>67</v>
      </c>
      <c r="L24" s="20" t="s">
        <v>69</v>
      </c>
      <c r="M24" s="20" t="s">
        <v>539</v>
      </c>
      <c r="N24" s="4" t="s">
        <v>144</v>
      </c>
      <c r="O24" s="20" t="s">
        <v>542</v>
      </c>
      <c r="P24" s="20" t="s">
        <v>68</v>
      </c>
      <c r="Q24" s="23" t="s">
        <v>545</v>
      </c>
      <c r="R24" s="20" t="s">
        <v>46</v>
      </c>
      <c r="S24" s="20" t="s">
        <v>155</v>
      </c>
      <c r="T24" s="20" t="s">
        <v>43</v>
      </c>
      <c r="U24" s="20"/>
      <c r="V24" s="20" t="s">
        <v>563</v>
      </c>
      <c r="W24" s="24" t="s">
        <v>655</v>
      </c>
      <c r="X24" s="20"/>
      <c r="Y24" s="23" t="e">
        <f>VLOOKUP(#REF!,[2]Sheet4!$C$2:$F$141,4,0)</f>
        <v>#REF!</v>
      </c>
      <c r="Z24" s="23">
        <v>284062598505</v>
      </c>
      <c r="AA24" s="20">
        <v>9561331023</v>
      </c>
      <c r="AB24" s="20" t="s">
        <v>1185</v>
      </c>
      <c r="AC24" s="20"/>
      <c r="AD24" s="20" t="s">
        <v>436</v>
      </c>
      <c r="AE24" s="20">
        <v>9561331023</v>
      </c>
      <c r="AF24" s="20"/>
      <c r="AG24" s="25" t="s">
        <v>706</v>
      </c>
      <c r="AH24" s="20" t="s">
        <v>763</v>
      </c>
      <c r="AI24" s="5" t="s">
        <v>799</v>
      </c>
      <c r="AJ24" s="20" t="s">
        <v>784</v>
      </c>
      <c r="AK24" s="20">
        <v>424304</v>
      </c>
      <c r="AL24" s="25" t="s">
        <v>706</v>
      </c>
      <c r="AM24" s="20" t="s">
        <v>763</v>
      </c>
      <c r="AN24" s="5" t="s">
        <v>799</v>
      </c>
      <c r="AO24" s="20" t="s">
        <v>784</v>
      </c>
      <c r="AP24" s="20">
        <v>424304</v>
      </c>
      <c r="AQ24" s="26" t="s">
        <v>841</v>
      </c>
      <c r="AR24" s="27">
        <v>5187077531</v>
      </c>
      <c r="AS24" s="28" t="s">
        <v>897</v>
      </c>
      <c r="AT24" s="60" t="s">
        <v>271</v>
      </c>
    </row>
    <row r="25" spans="1:46" x14ac:dyDescent="0.25">
      <c r="A25" s="20">
        <v>20</v>
      </c>
      <c r="B25" s="21" t="s">
        <v>176</v>
      </c>
      <c r="C25" s="20" t="s">
        <v>50</v>
      </c>
      <c r="D25" s="22" t="s">
        <v>368</v>
      </c>
      <c r="E25" s="22" t="s">
        <v>437</v>
      </c>
      <c r="F25" s="22" t="s">
        <v>496</v>
      </c>
      <c r="G25" s="20" t="s">
        <v>64</v>
      </c>
      <c r="H25" s="20"/>
      <c r="I25" s="20" t="str">
        <f>VLOOKUP(B25,'[1]BILLING &amp; PAY SHEET'!$C$9:$H$109,6,0)</f>
        <v>02.07.1987</v>
      </c>
      <c r="J25" s="20" t="str">
        <f>VLOOKUP(B25,'[1]BILLING &amp; PAY SHEET'!$C$9:$I$109,7,0)</f>
        <v>20.09.2023</v>
      </c>
      <c r="K25" s="20" t="s">
        <v>67</v>
      </c>
      <c r="L25" s="20" t="s">
        <v>69</v>
      </c>
      <c r="M25" s="20" t="s">
        <v>539</v>
      </c>
      <c r="N25" s="4" t="s">
        <v>144</v>
      </c>
      <c r="O25" s="20" t="s">
        <v>542</v>
      </c>
      <c r="P25" s="20" t="s">
        <v>68</v>
      </c>
      <c r="Q25" s="23" t="s">
        <v>545</v>
      </c>
      <c r="R25" s="20" t="s">
        <v>46</v>
      </c>
      <c r="S25" s="20" t="s">
        <v>155</v>
      </c>
      <c r="T25" s="20" t="s">
        <v>43</v>
      </c>
      <c r="U25" s="20"/>
      <c r="V25" s="20" t="s">
        <v>564</v>
      </c>
      <c r="W25" s="24" t="s">
        <v>656</v>
      </c>
      <c r="X25" s="20"/>
      <c r="Y25" s="23" t="e">
        <f>VLOOKUP(#REF!,[2]Sheet4!$C$2:$F$141,4,0)</f>
        <v>#REF!</v>
      </c>
      <c r="Z25" s="23">
        <v>533797993955</v>
      </c>
      <c r="AA25" s="20">
        <v>9998322752</v>
      </c>
      <c r="AB25" s="20" t="s">
        <v>1319</v>
      </c>
      <c r="AC25" s="20"/>
      <c r="AD25" s="20" t="s">
        <v>437</v>
      </c>
      <c r="AE25" s="20">
        <v>9998322752</v>
      </c>
      <c r="AF25" s="20"/>
      <c r="AG25" s="25" t="s">
        <v>704</v>
      </c>
      <c r="AH25" s="20" t="s">
        <v>761</v>
      </c>
      <c r="AI25" s="5" t="s">
        <v>799</v>
      </c>
      <c r="AJ25" s="20" t="s">
        <v>779</v>
      </c>
      <c r="AK25" s="20">
        <v>425408</v>
      </c>
      <c r="AL25" s="25" t="s">
        <v>704</v>
      </c>
      <c r="AM25" s="20" t="s">
        <v>761</v>
      </c>
      <c r="AN25" s="5" t="s">
        <v>799</v>
      </c>
      <c r="AO25" s="20" t="s">
        <v>779</v>
      </c>
      <c r="AP25" s="20">
        <v>425408</v>
      </c>
      <c r="AQ25" s="26" t="s">
        <v>839</v>
      </c>
      <c r="AR25" s="27">
        <v>80060776804</v>
      </c>
      <c r="AS25" s="28" t="s">
        <v>894</v>
      </c>
      <c r="AT25" s="60" t="s">
        <v>272</v>
      </c>
    </row>
    <row r="26" spans="1:46" x14ac:dyDescent="0.25">
      <c r="A26" s="20">
        <v>21</v>
      </c>
      <c r="B26" s="21" t="s">
        <v>177</v>
      </c>
      <c r="C26" s="20" t="s">
        <v>50</v>
      </c>
      <c r="D26" s="22" t="s">
        <v>369</v>
      </c>
      <c r="E26" s="22" t="s">
        <v>393</v>
      </c>
      <c r="F26" s="22" t="s">
        <v>496</v>
      </c>
      <c r="G26" s="20" t="s">
        <v>64</v>
      </c>
      <c r="H26" s="20"/>
      <c r="I26" s="20" t="str">
        <f>VLOOKUP(B26,'[1]BILLING &amp; PAY SHEET'!$C$9:$H$109,6,0)</f>
        <v>22.05.1999</v>
      </c>
      <c r="J26" s="20" t="str">
        <f>VLOOKUP(B26,'[1]BILLING &amp; PAY SHEET'!$C$9:$I$109,7,0)</f>
        <v>20.09.2023</v>
      </c>
      <c r="K26" s="20" t="s">
        <v>67</v>
      </c>
      <c r="L26" s="20" t="s">
        <v>69</v>
      </c>
      <c r="M26" s="20" t="s">
        <v>539</v>
      </c>
      <c r="N26" s="4" t="s">
        <v>144</v>
      </c>
      <c r="O26" s="20" t="s">
        <v>542</v>
      </c>
      <c r="P26" s="20" t="s">
        <v>68</v>
      </c>
      <c r="Q26" s="23" t="s">
        <v>545</v>
      </c>
      <c r="R26" s="20" t="s">
        <v>46</v>
      </c>
      <c r="S26" s="20" t="s">
        <v>155</v>
      </c>
      <c r="T26" s="20" t="s">
        <v>43</v>
      </c>
      <c r="U26" s="20"/>
      <c r="V26" s="20" t="s">
        <v>565</v>
      </c>
      <c r="W26" s="24" t="s">
        <v>657</v>
      </c>
      <c r="X26" s="20"/>
      <c r="Y26" s="23" t="e">
        <f>VLOOKUP(#REF!,[2]Sheet4!$C$2:$F$141,4,0)</f>
        <v>#REF!</v>
      </c>
      <c r="Z26" s="23">
        <v>698541244186</v>
      </c>
      <c r="AA26" s="20">
        <v>9370469836</v>
      </c>
      <c r="AB26" s="20" t="s">
        <v>1319</v>
      </c>
      <c r="AC26" s="20"/>
      <c r="AD26" s="20" t="s">
        <v>393</v>
      </c>
      <c r="AE26" s="20">
        <v>9370469836</v>
      </c>
      <c r="AF26" s="20"/>
      <c r="AG26" s="25" t="s">
        <v>699</v>
      </c>
      <c r="AH26" s="20" t="s">
        <v>757</v>
      </c>
      <c r="AI26" s="5" t="s">
        <v>799</v>
      </c>
      <c r="AJ26" s="20" t="s">
        <v>782</v>
      </c>
      <c r="AK26" s="20">
        <v>425408</v>
      </c>
      <c r="AL26" s="25" t="s">
        <v>699</v>
      </c>
      <c r="AM26" s="20" t="s">
        <v>757</v>
      </c>
      <c r="AN26" s="5" t="s">
        <v>799</v>
      </c>
      <c r="AO26" s="20" t="s">
        <v>782</v>
      </c>
      <c r="AP26" s="20">
        <v>425408</v>
      </c>
      <c r="AQ26" s="26" t="s">
        <v>843</v>
      </c>
      <c r="AR26" s="27">
        <v>69410510008983</v>
      </c>
      <c r="AS26" s="28" t="s">
        <v>903</v>
      </c>
      <c r="AT26" s="60" t="s">
        <v>273</v>
      </c>
    </row>
    <row r="27" spans="1:46" x14ac:dyDescent="0.25">
      <c r="A27" s="20">
        <v>22</v>
      </c>
      <c r="B27" s="21" t="s">
        <v>178</v>
      </c>
      <c r="C27" s="20" t="s">
        <v>50</v>
      </c>
      <c r="D27" s="22" t="s">
        <v>370</v>
      </c>
      <c r="E27" s="22" t="s">
        <v>438</v>
      </c>
      <c r="F27" s="22" t="s">
        <v>502</v>
      </c>
      <c r="G27" s="20" t="s">
        <v>64</v>
      </c>
      <c r="H27" s="20"/>
      <c r="I27" s="20" t="str">
        <f>VLOOKUP(B27,'[1]BILLING &amp; PAY SHEET'!$C$9:$H$109,6,0)</f>
        <v>28.06.1990</v>
      </c>
      <c r="J27" s="20" t="str">
        <f>VLOOKUP(B27,'[1]BILLING &amp; PAY SHEET'!$C$9:$I$109,7,0)</f>
        <v>20.09.2023</v>
      </c>
      <c r="K27" s="20" t="s">
        <v>67</v>
      </c>
      <c r="L27" s="20" t="s">
        <v>69</v>
      </c>
      <c r="M27" s="20" t="s">
        <v>539</v>
      </c>
      <c r="N27" s="4" t="s">
        <v>144</v>
      </c>
      <c r="O27" s="20" t="s">
        <v>542</v>
      </c>
      <c r="P27" s="20" t="s">
        <v>68</v>
      </c>
      <c r="Q27" s="23" t="s">
        <v>545</v>
      </c>
      <c r="R27" s="20" t="s">
        <v>46</v>
      </c>
      <c r="S27" s="20" t="s">
        <v>155</v>
      </c>
      <c r="T27" s="20" t="s">
        <v>43</v>
      </c>
      <c r="U27" s="20"/>
      <c r="V27" s="20" t="s">
        <v>566</v>
      </c>
      <c r="W27" s="24" t="s">
        <v>658</v>
      </c>
      <c r="X27" s="20"/>
      <c r="Y27" s="23" t="e">
        <f>VLOOKUP(#REF!,[2]Sheet4!$C$2:$F$141,4,0)</f>
        <v>#REF!</v>
      </c>
      <c r="Z27" s="23">
        <v>905320899326</v>
      </c>
      <c r="AA27" s="20">
        <v>9325963858</v>
      </c>
      <c r="AB27" s="20" t="s">
        <v>1185</v>
      </c>
      <c r="AC27" s="20"/>
      <c r="AD27" s="20" t="s">
        <v>438</v>
      </c>
      <c r="AE27" s="20">
        <v>9325963858</v>
      </c>
      <c r="AF27" s="20"/>
      <c r="AG27" s="25" t="s">
        <v>703</v>
      </c>
      <c r="AH27" s="20" t="s">
        <v>755</v>
      </c>
      <c r="AI27" s="5" t="s">
        <v>799</v>
      </c>
      <c r="AJ27" s="20" t="s">
        <v>781</v>
      </c>
      <c r="AK27" s="20">
        <v>424305</v>
      </c>
      <c r="AL27" s="25" t="s">
        <v>703</v>
      </c>
      <c r="AM27" s="20" t="s">
        <v>755</v>
      </c>
      <c r="AN27" s="5" t="s">
        <v>799</v>
      </c>
      <c r="AO27" s="20" t="s">
        <v>781</v>
      </c>
      <c r="AP27" s="20">
        <v>424305</v>
      </c>
      <c r="AQ27" s="26" t="s">
        <v>840</v>
      </c>
      <c r="AR27" s="27">
        <v>32985593911</v>
      </c>
      <c r="AS27" s="28" t="s">
        <v>895</v>
      </c>
      <c r="AT27" s="60" t="s">
        <v>274</v>
      </c>
    </row>
    <row r="28" spans="1:46" x14ac:dyDescent="0.25">
      <c r="A28" s="20">
        <v>23</v>
      </c>
      <c r="B28" s="21" t="s">
        <v>179</v>
      </c>
      <c r="C28" s="20" t="s">
        <v>50</v>
      </c>
      <c r="D28" s="22" t="s">
        <v>371</v>
      </c>
      <c r="E28" s="22" t="s">
        <v>439</v>
      </c>
      <c r="F28" s="22" t="s">
        <v>501</v>
      </c>
      <c r="G28" s="20" t="s">
        <v>64</v>
      </c>
      <c r="H28" s="20"/>
      <c r="I28" s="20" t="str">
        <f>VLOOKUP(B28,'[1]BILLING &amp; PAY SHEET'!$C$9:$H$109,6,0)</f>
        <v>13.07.2000</v>
      </c>
      <c r="J28" s="20" t="str">
        <f>VLOOKUP(B28,'[1]BILLING &amp; PAY SHEET'!$C$9:$I$109,7,0)</f>
        <v>20.09.2023</v>
      </c>
      <c r="K28" s="20" t="s">
        <v>67</v>
      </c>
      <c r="L28" s="20" t="s">
        <v>69</v>
      </c>
      <c r="M28" s="20" t="s">
        <v>539</v>
      </c>
      <c r="N28" s="4" t="s">
        <v>144</v>
      </c>
      <c r="O28" s="20" t="s">
        <v>542</v>
      </c>
      <c r="P28" s="20" t="s">
        <v>68</v>
      </c>
      <c r="Q28" s="23" t="s">
        <v>545</v>
      </c>
      <c r="R28" s="20" t="s">
        <v>46</v>
      </c>
      <c r="S28" s="20" t="s">
        <v>155</v>
      </c>
      <c r="T28" s="20" t="s">
        <v>43</v>
      </c>
      <c r="U28" s="20"/>
      <c r="V28" s="20" t="s">
        <v>567</v>
      </c>
      <c r="W28" s="24" t="s">
        <v>659</v>
      </c>
      <c r="X28" s="20"/>
      <c r="Y28" s="23" t="e">
        <f>VLOOKUP(#REF!,[2]Sheet4!$C$2:$F$141,4,0)</f>
        <v>#REF!</v>
      </c>
      <c r="Z28" s="23">
        <v>220418878400</v>
      </c>
      <c r="AA28" s="20">
        <v>7499289247</v>
      </c>
      <c r="AB28" s="20" t="s">
        <v>1319</v>
      </c>
      <c r="AC28" s="20"/>
      <c r="AD28" s="20" t="s">
        <v>439</v>
      </c>
      <c r="AE28" s="20">
        <v>7499289247</v>
      </c>
      <c r="AF28" s="20"/>
      <c r="AG28" s="25" t="s">
        <v>698</v>
      </c>
      <c r="AH28" s="20" t="s">
        <v>756</v>
      </c>
      <c r="AI28" s="5" t="s">
        <v>799</v>
      </c>
      <c r="AJ28" s="20" t="s">
        <v>781</v>
      </c>
      <c r="AK28" s="20">
        <v>424305</v>
      </c>
      <c r="AL28" s="25" t="s">
        <v>698</v>
      </c>
      <c r="AM28" s="20" t="s">
        <v>756</v>
      </c>
      <c r="AN28" s="5" t="s">
        <v>799</v>
      </c>
      <c r="AO28" s="20" t="s">
        <v>781</v>
      </c>
      <c r="AP28" s="20">
        <v>424305</v>
      </c>
      <c r="AQ28" s="26" t="s">
        <v>841</v>
      </c>
      <c r="AR28" s="27">
        <v>3689818421</v>
      </c>
      <c r="AS28" s="28" t="s">
        <v>904</v>
      </c>
      <c r="AT28" s="60" t="s">
        <v>275</v>
      </c>
    </row>
    <row r="29" spans="1:46" x14ac:dyDescent="0.25">
      <c r="A29" s="20">
        <v>24</v>
      </c>
      <c r="B29" s="21" t="s">
        <v>180</v>
      </c>
      <c r="C29" s="20" t="s">
        <v>50</v>
      </c>
      <c r="D29" s="22" t="s">
        <v>372</v>
      </c>
      <c r="E29" s="22" t="s">
        <v>427</v>
      </c>
      <c r="F29" s="22" t="s">
        <v>503</v>
      </c>
      <c r="G29" s="20" t="s">
        <v>64</v>
      </c>
      <c r="H29" s="20"/>
      <c r="I29" s="20" t="str">
        <f>VLOOKUP(B29,'[1]BILLING &amp; PAY SHEET'!$C$9:$H$109,6,0)</f>
        <v>09.05.1983</v>
      </c>
      <c r="J29" s="20" t="str">
        <f>VLOOKUP(B29,'[1]BILLING &amp; PAY SHEET'!$C$9:$I$109,7,0)</f>
        <v>20.09.2023</v>
      </c>
      <c r="K29" s="20" t="s">
        <v>67</v>
      </c>
      <c r="L29" s="20" t="s">
        <v>69</v>
      </c>
      <c r="M29" s="20" t="s">
        <v>539</v>
      </c>
      <c r="N29" s="4" t="s">
        <v>144</v>
      </c>
      <c r="O29" s="20" t="s">
        <v>542</v>
      </c>
      <c r="P29" s="20" t="s">
        <v>68</v>
      </c>
      <c r="Q29" s="23" t="s">
        <v>545</v>
      </c>
      <c r="R29" s="20" t="s">
        <v>46</v>
      </c>
      <c r="S29" s="20" t="s">
        <v>155</v>
      </c>
      <c r="T29" s="20" t="s">
        <v>43</v>
      </c>
      <c r="U29" s="20"/>
      <c r="V29" s="20" t="s">
        <v>568</v>
      </c>
      <c r="W29" s="24" t="s">
        <v>660</v>
      </c>
      <c r="X29" s="20"/>
      <c r="Y29" s="23" t="e">
        <f>VLOOKUP(#REF!,[2]Sheet4!$C$2:$F$141,4,0)</f>
        <v>#REF!</v>
      </c>
      <c r="Z29" s="23">
        <v>420372946526</v>
      </c>
      <c r="AA29" s="20">
        <v>9637040709</v>
      </c>
      <c r="AB29" s="20" t="s">
        <v>1319</v>
      </c>
      <c r="AC29" s="20"/>
      <c r="AD29" s="20" t="s">
        <v>427</v>
      </c>
      <c r="AE29" s="20">
        <v>9637040709</v>
      </c>
      <c r="AF29" s="20"/>
      <c r="AG29" s="25" t="s">
        <v>707</v>
      </c>
      <c r="AH29" s="20" t="s">
        <v>764</v>
      </c>
      <c r="AI29" s="5" t="s">
        <v>799</v>
      </c>
      <c r="AJ29" s="20" t="s">
        <v>784</v>
      </c>
      <c r="AK29" s="20">
        <v>451666</v>
      </c>
      <c r="AL29" s="25" t="s">
        <v>707</v>
      </c>
      <c r="AM29" s="20" t="s">
        <v>764</v>
      </c>
      <c r="AN29" s="5" t="s">
        <v>799</v>
      </c>
      <c r="AO29" s="20" t="s">
        <v>784</v>
      </c>
      <c r="AP29" s="20">
        <v>451666</v>
      </c>
      <c r="AQ29" s="26" t="s">
        <v>841</v>
      </c>
      <c r="AR29" s="27">
        <v>2962559073</v>
      </c>
      <c r="AS29" s="28" t="s">
        <v>904</v>
      </c>
      <c r="AT29" s="60" t="s">
        <v>276</v>
      </c>
    </row>
    <row r="30" spans="1:46" x14ac:dyDescent="0.25">
      <c r="A30" s="20">
        <v>25</v>
      </c>
      <c r="B30" s="21" t="s">
        <v>181</v>
      </c>
      <c r="C30" s="20" t="s">
        <v>50</v>
      </c>
      <c r="D30" s="22" t="s">
        <v>371</v>
      </c>
      <c r="E30" s="22" t="s">
        <v>377</v>
      </c>
      <c r="F30" s="22" t="s">
        <v>403</v>
      </c>
      <c r="G30" s="20" t="s">
        <v>64</v>
      </c>
      <c r="H30" s="20"/>
      <c r="I30" s="20" t="str">
        <f>VLOOKUP(B30,'[1]BILLING &amp; PAY SHEET'!$C$9:$H$109,6,0)</f>
        <v>31.10.2000</v>
      </c>
      <c r="J30" s="20" t="str">
        <f>VLOOKUP(B30,'[1]BILLING &amp; PAY SHEET'!$C$9:$I$109,7,0)</f>
        <v>20.09.2023</v>
      </c>
      <c r="K30" s="20" t="s">
        <v>67</v>
      </c>
      <c r="L30" s="20" t="s">
        <v>69</v>
      </c>
      <c r="M30" s="20" t="s">
        <v>539</v>
      </c>
      <c r="N30" s="4" t="s">
        <v>144</v>
      </c>
      <c r="O30" s="20" t="s">
        <v>542</v>
      </c>
      <c r="P30" s="20" t="s">
        <v>68</v>
      </c>
      <c r="Q30" s="23" t="s">
        <v>545</v>
      </c>
      <c r="R30" s="20" t="s">
        <v>46</v>
      </c>
      <c r="S30" s="20" t="s">
        <v>155</v>
      </c>
      <c r="T30" s="20" t="s">
        <v>43</v>
      </c>
      <c r="U30" s="20"/>
      <c r="V30" s="20" t="s">
        <v>569</v>
      </c>
      <c r="W30" s="24" t="s">
        <v>661</v>
      </c>
      <c r="X30" s="20"/>
      <c r="Y30" s="23" t="e">
        <f>VLOOKUP(#REF!,[2]Sheet4!$C$2:$F$141,4,0)</f>
        <v>#REF!</v>
      </c>
      <c r="Z30" s="23">
        <v>462912785530</v>
      </c>
      <c r="AA30" s="20">
        <v>8767113870</v>
      </c>
      <c r="AB30" s="20" t="s">
        <v>1319</v>
      </c>
      <c r="AC30" s="20"/>
      <c r="AD30" s="20" t="s">
        <v>377</v>
      </c>
      <c r="AE30" s="20">
        <v>8767113870</v>
      </c>
      <c r="AF30" s="20"/>
      <c r="AG30" s="25" t="s">
        <v>708</v>
      </c>
      <c r="AH30" s="20" t="s">
        <v>765</v>
      </c>
      <c r="AI30" s="5" t="s">
        <v>799</v>
      </c>
      <c r="AJ30" s="20" t="s">
        <v>780</v>
      </c>
      <c r="AK30" s="20">
        <v>424306</v>
      </c>
      <c r="AL30" s="25" t="s">
        <v>708</v>
      </c>
      <c r="AM30" s="20" t="s">
        <v>765</v>
      </c>
      <c r="AN30" s="5" t="s">
        <v>799</v>
      </c>
      <c r="AO30" s="20" t="s">
        <v>780</v>
      </c>
      <c r="AP30" s="20">
        <v>424306</v>
      </c>
      <c r="AQ30" s="26" t="s">
        <v>839</v>
      </c>
      <c r="AR30" s="27">
        <v>80079551495</v>
      </c>
      <c r="AS30" s="28" t="s">
        <v>894</v>
      </c>
      <c r="AT30" s="60" t="s">
        <v>277</v>
      </c>
    </row>
    <row r="31" spans="1:46" x14ac:dyDescent="0.25">
      <c r="A31" s="20">
        <v>26</v>
      </c>
      <c r="B31" s="21" t="s">
        <v>182</v>
      </c>
      <c r="C31" s="20" t="s">
        <v>50</v>
      </c>
      <c r="D31" s="22" t="s">
        <v>371</v>
      </c>
      <c r="E31" s="22" t="s">
        <v>440</v>
      </c>
      <c r="F31" s="22" t="s">
        <v>496</v>
      </c>
      <c r="G31" s="20" t="s">
        <v>64</v>
      </c>
      <c r="H31" s="20"/>
      <c r="I31" s="20" t="str">
        <f>VLOOKUP(B31,'[1]BILLING &amp; PAY SHEET'!$C$9:$H$109,6,0)</f>
        <v>04.03.1996</v>
      </c>
      <c r="J31" s="20" t="str">
        <f>VLOOKUP(B31,'[1]BILLING &amp; PAY SHEET'!$C$9:$I$109,7,0)</f>
        <v>20.09.2023</v>
      </c>
      <c r="K31" s="20" t="s">
        <v>67</v>
      </c>
      <c r="L31" s="20" t="s">
        <v>69</v>
      </c>
      <c r="M31" s="20" t="s">
        <v>539</v>
      </c>
      <c r="N31" s="4" t="s">
        <v>144</v>
      </c>
      <c r="O31" s="20" t="s">
        <v>542</v>
      </c>
      <c r="P31" s="20" t="s">
        <v>68</v>
      </c>
      <c r="Q31" s="23" t="s">
        <v>545</v>
      </c>
      <c r="R31" s="20" t="s">
        <v>46</v>
      </c>
      <c r="S31" s="20" t="s">
        <v>155</v>
      </c>
      <c r="T31" s="20" t="s">
        <v>43</v>
      </c>
      <c r="U31" s="20"/>
      <c r="V31" s="20" t="s">
        <v>570</v>
      </c>
      <c r="W31" s="24" t="s">
        <v>662</v>
      </c>
      <c r="X31" s="20"/>
      <c r="Y31" s="23" t="e">
        <f>VLOOKUP(#REF!,[2]Sheet4!$C$2:$F$141,4,0)</f>
        <v>#REF!</v>
      </c>
      <c r="Z31" s="23">
        <v>479181313552</v>
      </c>
      <c r="AA31" s="20">
        <v>8263050853</v>
      </c>
      <c r="AB31" s="20" t="s">
        <v>1319</v>
      </c>
      <c r="AC31" s="20"/>
      <c r="AD31" s="20" t="s">
        <v>440</v>
      </c>
      <c r="AE31" s="20">
        <v>8263050853</v>
      </c>
      <c r="AF31" s="20"/>
      <c r="AG31" s="25" t="s">
        <v>704</v>
      </c>
      <c r="AH31" s="20" t="s">
        <v>761</v>
      </c>
      <c r="AI31" s="5" t="s">
        <v>799</v>
      </c>
      <c r="AJ31" s="20" t="s">
        <v>779</v>
      </c>
      <c r="AK31" s="20">
        <v>425408</v>
      </c>
      <c r="AL31" s="25" t="s">
        <v>704</v>
      </c>
      <c r="AM31" s="20" t="s">
        <v>761</v>
      </c>
      <c r="AN31" s="5" t="s">
        <v>799</v>
      </c>
      <c r="AO31" s="20" t="s">
        <v>779</v>
      </c>
      <c r="AP31" s="20">
        <v>425408</v>
      </c>
      <c r="AQ31" s="26" t="s">
        <v>839</v>
      </c>
      <c r="AR31" s="27">
        <v>80040949975</v>
      </c>
      <c r="AS31" s="28" t="s">
        <v>894</v>
      </c>
      <c r="AT31" s="60" t="s">
        <v>278</v>
      </c>
    </row>
    <row r="32" spans="1:46" x14ac:dyDescent="0.25">
      <c r="A32" s="20">
        <v>27</v>
      </c>
      <c r="B32" s="21" t="s">
        <v>183</v>
      </c>
      <c r="C32" s="20" t="s">
        <v>50</v>
      </c>
      <c r="D32" s="22" t="s">
        <v>373</v>
      </c>
      <c r="E32" s="22" t="s">
        <v>441</v>
      </c>
      <c r="F32" s="22" t="s">
        <v>495</v>
      </c>
      <c r="G32" s="20" t="s">
        <v>64</v>
      </c>
      <c r="H32" s="20"/>
      <c r="I32" s="20" t="str">
        <f>VLOOKUP(B32,'[1]BILLING &amp; PAY SHEET'!$C$9:$H$109,6,0)</f>
        <v>09.12.1999</v>
      </c>
      <c r="J32" s="20" t="str">
        <f>VLOOKUP(B32,'[1]BILLING &amp; PAY SHEET'!$C$9:$I$109,7,0)</f>
        <v>20.09.2023</v>
      </c>
      <c r="K32" s="20" t="s">
        <v>67</v>
      </c>
      <c r="L32" s="20" t="s">
        <v>69</v>
      </c>
      <c r="M32" s="20" t="s">
        <v>539</v>
      </c>
      <c r="N32" s="4" t="s">
        <v>144</v>
      </c>
      <c r="O32" s="20" t="s">
        <v>542</v>
      </c>
      <c r="P32" s="20" t="s">
        <v>68</v>
      </c>
      <c r="Q32" s="23" t="s">
        <v>545</v>
      </c>
      <c r="R32" s="20" t="s">
        <v>46</v>
      </c>
      <c r="S32" s="20" t="s">
        <v>155</v>
      </c>
      <c r="T32" s="20" t="s">
        <v>43</v>
      </c>
      <c r="U32" s="20"/>
      <c r="V32" s="20" t="s">
        <v>571</v>
      </c>
      <c r="W32" s="24">
        <v>2504926166</v>
      </c>
      <c r="X32" s="20"/>
      <c r="Y32" s="23" t="e">
        <f>VLOOKUP(#REF!,[2]Sheet4!$C$2:$F$141,4,0)</f>
        <v>#REF!</v>
      </c>
      <c r="Z32" s="23">
        <v>305250632810</v>
      </c>
      <c r="AA32" s="20">
        <v>8805104216</v>
      </c>
      <c r="AB32" s="20" t="s">
        <v>1319</v>
      </c>
      <c r="AC32" s="20"/>
      <c r="AD32" s="20" t="s">
        <v>441</v>
      </c>
      <c r="AE32" s="20">
        <v>8805104216</v>
      </c>
      <c r="AF32" s="20"/>
      <c r="AG32" s="25" t="s">
        <v>702</v>
      </c>
      <c r="AH32" s="20" t="s">
        <v>760</v>
      </c>
      <c r="AI32" s="5" t="s">
        <v>799</v>
      </c>
      <c r="AJ32" s="20" t="s">
        <v>781</v>
      </c>
      <c r="AK32" s="20">
        <v>424305</v>
      </c>
      <c r="AL32" s="25" t="s">
        <v>702</v>
      </c>
      <c r="AM32" s="20" t="s">
        <v>760</v>
      </c>
      <c r="AN32" s="5" t="s">
        <v>799</v>
      </c>
      <c r="AO32" s="20" t="s">
        <v>781</v>
      </c>
      <c r="AP32" s="20">
        <v>424305</v>
      </c>
      <c r="AQ32" s="26" t="s">
        <v>840</v>
      </c>
      <c r="AR32" s="27">
        <v>38205777904</v>
      </c>
      <c r="AS32" s="28" t="s">
        <v>895</v>
      </c>
      <c r="AT32" s="60" t="s">
        <v>279</v>
      </c>
    </row>
    <row r="33" spans="1:46" x14ac:dyDescent="0.25">
      <c r="A33" s="20">
        <v>28</v>
      </c>
      <c r="B33" s="21" t="s">
        <v>184</v>
      </c>
      <c r="C33" s="20" t="s">
        <v>50</v>
      </c>
      <c r="D33" s="22" t="s">
        <v>372</v>
      </c>
      <c r="E33" s="22" t="s">
        <v>442</v>
      </c>
      <c r="F33" s="22" t="s">
        <v>504</v>
      </c>
      <c r="G33" s="20" t="s">
        <v>64</v>
      </c>
      <c r="H33" s="20"/>
      <c r="I33" s="20" t="str">
        <f>VLOOKUP(B33,'[1]BILLING &amp; PAY SHEET'!$C$9:$H$109,6,0)</f>
        <v>06.03.1991</v>
      </c>
      <c r="J33" s="20" t="str">
        <f>VLOOKUP(B33,'[1]BILLING &amp; PAY SHEET'!$C$9:$I$109,7,0)</f>
        <v>20.09.2023</v>
      </c>
      <c r="K33" s="20" t="s">
        <v>67</v>
      </c>
      <c r="L33" s="20" t="s">
        <v>69</v>
      </c>
      <c r="M33" s="20" t="s">
        <v>539</v>
      </c>
      <c r="N33" s="4" t="s">
        <v>144</v>
      </c>
      <c r="O33" s="20" t="s">
        <v>542</v>
      </c>
      <c r="P33" s="20" t="s">
        <v>68</v>
      </c>
      <c r="Q33" s="23" t="s">
        <v>545</v>
      </c>
      <c r="R33" s="20" t="s">
        <v>46</v>
      </c>
      <c r="S33" s="20" t="s">
        <v>155</v>
      </c>
      <c r="T33" s="20" t="s">
        <v>43</v>
      </c>
      <c r="U33" s="20"/>
      <c r="V33" s="20" t="s">
        <v>572</v>
      </c>
      <c r="W33" s="24" t="s">
        <v>663</v>
      </c>
      <c r="X33" s="20"/>
      <c r="Y33" s="23" t="e">
        <f>VLOOKUP(#REF!,[2]Sheet4!$C$2:$F$141,4,0)</f>
        <v>#REF!</v>
      </c>
      <c r="Z33" s="23">
        <v>484175732312</v>
      </c>
      <c r="AA33" s="20">
        <v>9545153838</v>
      </c>
      <c r="AB33" s="20" t="s">
        <v>1319</v>
      </c>
      <c r="AC33" s="20"/>
      <c r="AD33" s="20" t="s">
        <v>442</v>
      </c>
      <c r="AE33" s="20">
        <v>9545153838</v>
      </c>
      <c r="AF33" s="20"/>
      <c r="AG33" s="25" t="s">
        <v>700</v>
      </c>
      <c r="AH33" s="20" t="s">
        <v>758</v>
      </c>
      <c r="AI33" s="5" t="s">
        <v>799</v>
      </c>
      <c r="AJ33" s="20" t="s">
        <v>783</v>
      </c>
      <c r="AK33" s="20">
        <v>424305</v>
      </c>
      <c r="AL33" s="25" t="s">
        <v>700</v>
      </c>
      <c r="AM33" s="20" t="s">
        <v>758</v>
      </c>
      <c r="AN33" s="5" t="s">
        <v>799</v>
      </c>
      <c r="AO33" s="20" t="s">
        <v>783</v>
      </c>
      <c r="AP33" s="20">
        <v>424305</v>
      </c>
      <c r="AQ33" s="26" t="s">
        <v>841</v>
      </c>
      <c r="AR33" s="27">
        <v>2256654720</v>
      </c>
      <c r="AS33" s="28" t="s">
        <v>904</v>
      </c>
      <c r="AT33" s="60" t="s">
        <v>280</v>
      </c>
    </row>
    <row r="34" spans="1:46" x14ac:dyDescent="0.25">
      <c r="A34" s="20">
        <v>29</v>
      </c>
      <c r="B34" s="21" t="s">
        <v>185</v>
      </c>
      <c r="C34" s="20" t="s">
        <v>50</v>
      </c>
      <c r="D34" s="22" t="s">
        <v>374</v>
      </c>
      <c r="E34" s="22" t="s">
        <v>443</v>
      </c>
      <c r="F34" s="22" t="s">
        <v>403</v>
      </c>
      <c r="G34" s="20" t="s">
        <v>64</v>
      </c>
      <c r="H34" s="20"/>
      <c r="I34" s="20" t="str">
        <f>VLOOKUP(B34,'[1]BILLING &amp; PAY SHEET'!$C$9:$H$109,6,0)</f>
        <v>15.08.1980</v>
      </c>
      <c r="J34" s="20" t="str">
        <f>VLOOKUP(B34,'[1]BILLING &amp; PAY SHEET'!$C$9:$I$109,7,0)</f>
        <v>20.09.2023</v>
      </c>
      <c r="K34" s="20" t="s">
        <v>67</v>
      </c>
      <c r="L34" s="20" t="s">
        <v>69</v>
      </c>
      <c r="M34" s="20" t="s">
        <v>539</v>
      </c>
      <c r="N34" s="4" t="s">
        <v>144</v>
      </c>
      <c r="O34" s="20" t="s">
        <v>542</v>
      </c>
      <c r="P34" s="20" t="s">
        <v>68</v>
      </c>
      <c r="Q34" s="23" t="s">
        <v>545</v>
      </c>
      <c r="R34" s="20" t="s">
        <v>46</v>
      </c>
      <c r="S34" s="20" t="s">
        <v>155</v>
      </c>
      <c r="T34" s="20" t="s">
        <v>43</v>
      </c>
      <c r="U34" s="20"/>
      <c r="V34" s="20" t="s">
        <v>573</v>
      </c>
      <c r="W34" s="24" t="s">
        <v>664</v>
      </c>
      <c r="X34" s="20"/>
      <c r="Y34" s="23" t="e">
        <f>VLOOKUP(#REF!,[2]Sheet4!$C$2:$F$141,4,0)</f>
        <v>#REF!</v>
      </c>
      <c r="Z34" s="23">
        <v>425389181223</v>
      </c>
      <c r="AA34" s="20">
        <v>9172952625</v>
      </c>
      <c r="AB34" s="20" t="s">
        <v>1319</v>
      </c>
      <c r="AC34" s="20"/>
      <c r="AD34" s="20" t="s">
        <v>443</v>
      </c>
      <c r="AE34" s="20">
        <v>9172952625</v>
      </c>
      <c r="AF34" s="20"/>
      <c r="AG34" s="25" t="s">
        <v>700</v>
      </c>
      <c r="AH34" s="20" t="s">
        <v>758</v>
      </c>
      <c r="AI34" s="5" t="s">
        <v>799</v>
      </c>
      <c r="AJ34" s="20" t="s">
        <v>783</v>
      </c>
      <c r="AK34" s="20">
        <v>424305</v>
      </c>
      <c r="AL34" s="25" t="s">
        <v>700</v>
      </c>
      <c r="AM34" s="20" t="s">
        <v>758</v>
      </c>
      <c r="AN34" s="5" t="s">
        <v>799</v>
      </c>
      <c r="AO34" s="20" t="s">
        <v>783</v>
      </c>
      <c r="AP34" s="20">
        <v>424305</v>
      </c>
      <c r="AQ34" s="26" t="s">
        <v>841</v>
      </c>
      <c r="AR34" s="27">
        <v>2256646505</v>
      </c>
      <c r="AS34" s="28" t="s">
        <v>897</v>
      </c>
      <c r="AT34" s="60" t="s">
        <v>281</v>
      </c>
    </row>
    <row r="35" spans="1:46" x14ac:dyDescent="0.25">
      <c r="A35" s="20">
        <v>30</v>
      </c>
      <c r="B35" s="21" t="s">
        <v>186</v>
      </c>
      <c r="C35" s="20" t="s">
        <v>50</v>
      </c>
      <c r="D35" s="22" t="s">
        <v>375</v>
      </c>
      <c r="E35" s="22" t="s">
        <v>444</v>
      </c>
      <c r="F35" s="22" t="s">
        <v>505</v>
      </c>
      <c r="G35" s="20" t="s">
        <v>64</v>
      </c>
      <c r="H35" s="20"/>
      <c r="I35" s="20" t="str">
        <f>VLOOKUP(B35,'[1]BILLING &amp; PAY SHEET'!$C$9:$H$109,6,0)</f>
        <v>27.11.2002</v>
      </c>
      <c r="J35" s="20" t="str">
        <f>VLOOKUP(B35,'[1]BILLING &amp; PAY SHEET'!$C$9:$I$109,7,0)</f>
        <v>20.09.2023</v>
      </c>
      <c r="K35" s="20" t="s">
        <v>67</v>
      </c>
      <c r="L35" s="20" t="s">
        <v>69</v>
      </c>
      <c r="M35" s="20" t="s">
        <v>539</v>
      </c>
      <c r="N35" s="4" t="s">
        <v>144</v>
      </c>
      <c r="O35" s="20" t="s">
        <v>542</v>
      </c>
      <c r="P35" s="20" t="s">
        <v>68</v>
      </c>
      <c r="Q35" s="23" t="s">
        <v>545</v>
      </c>
      <c r="R35" s="20" t="s">
        <v>46</v>
      </c>
      <c r="S35" s="20" t="s">
        <v>155</v>
      </c>
      <c r="T35" s="20" t="s">
        <v>43</v>
      </c>
      <c r="U35" s="20"/>
      <c r="V35" s="20" t="s">
        <v>574</v>
      </c>
      <c r="W35" s="24" t="s">
        <v>665</v>
      </c>
      <c r="X35" s="20"/>
      <c r="Y35" s="23" t="e">
        <f>VLOOKUP(#REF!,[2]Sheet4!$C$2:$F$141,4,0)</f>
        <v>#REF!</v>
      </c>
      <c r="Z35" s="23">
        <v>780527154287</v>
      </c>
      <c r="AA35" s="20">
        <v>9146184540</v>
      </c>
      <c r="AB35" s="20" t="s">
        <v>1319</v>
      </c>
      <c r="AC35" s="20"/>
      <c r="AD35" s="20" t="s">
        <v>444</v>
      </c>
      <c r="AE35" s="20">
        <v>9146184540</v>
      </c>
      <c r="AF35" s="20"/>
      <c r="AG35" s="25" t="s">
        <v>700</v>
      </c>
      <c r="AH35" s="20" t="s">
        <v>758</v>
      </c>
      <c r="AI35" s="5" t="s">
        <v>799</v>
      </c>
      <c r="AJ35" s="20" t="s">
        <v>783</v>
      </c>
      <c r="AK35" s="20">
        <v>424305</v>
      </c>
      <c r="AL35" s="25" t="s">
        <v>700</v>
      </c>
      <c r="AM35" s="20" t="s">
        <v>758</v>
      </c>
      <c r="AN35" s="5" t="s">
        <v>799</v>
      </c>
      <c r="AO35" s="20" t="s">
        <v>783</v>
      </c>
      <c r="AP35" s="20">
        <v>424305</v>
      </c>
      <c r="AQ35" s="26" t="s">
        <v>841</v>
      </c>
      <c r="AR35" s="27">
        <v>3981702988</v>
      </c>
      <c r="AS35" s="28" t="s">
        <v>904</v>
      </c>
      <c r="AT35" s="60" t="s">
        <v>282</v>
      </c>
    </row>
    <row r="36" spans="1:46" x14ac:dyDescent="0.25">
      <c r="A36" s="20">
        <v>31</v>
      </c>
      <c r="B36" s="21" t="s">
        <v>187</v>
      </c>
      <c r="C36" s="20" t="s">
        <v>50</v>
      </c>
      <c r="D36" s="22" t="s">
        <v>376</v>
      </c>
      <c r="E36" s="22" t="s">
        <v>445</v>
      </c>
      <c r="F36" s="22" t="s">
        <v>502</v>
      </c>
      <c r="G36" s="20" t="s">
        <v>64</v>
      </c>
      <c r="H36" s="20"/>
      <c r="I36" s="20" t="str">
        <f>VLOOKUP(B36,'[1]BILLING &amp; PAY SHEET'!$C$9:$H$109,6,0)</f>
        <v>02.03.2005</v>
      </c>
      <c r="J36" s="20" t="str">
        <f>VLOOKUP(B36,'[1]BILLING &amp; PAY SHEET'!$C$9:$I$109,7,0)</f>
        <v>03.01.2024</v>
      </c>
      <c r="K36" s="20" t="s">
        <v>67</v>
      </c>
      <c r="L36" s="20" t="s">
        <v>69</v>
      </c>
      <c r="M36" s="20" t="s">
        <v>539</v>
      </c>
      <c r="N36" s="4" t="s">
        <v>144</v>
      </c>
      <c r="O36" s="20" t="s">
        <v>542</v>
      </c>
      <c r="P36" s="20" t="s">
        <v>68</v>
      </c>
      <c r="Q36" s="23" t="s">
        <v>545</v>
      </c>
      <c r="R36" s="20" t="s">
        <v>46</v>
      </c>
      <c r="S36" s="20" t="s">
        <v>155</v>
      </c>
      <c r="T36" s="20" t="s">
        <v>43</v>
      </c>
      <c r="U36" s="20"/>
      <c r="V36" s="20" t="s">
        <v>575</v>
      </c>
      <c r="W36" s="24">
        <v>2504714436</v>
      </c>
      <c r="X36" s="20"/>
      <c r="Y36" s="23" t="e">
        <f>VLOOKUP(#REF!,[2]Sheet4!$C$2:$F$141,4,0)</f>
        <v>#REF!</v>
      </c>
      <c r="Z36" s="23">
        <v>355997268896</v>
      </c>
      <c r="AA36" s="20">
        <v>8468868242</v>
      </c>
      <c r="AB36" s="20" t="s">
        <v>1319</v>
      </c>
      <c r="AC36" s="20"/>
      <c r="AD36" s="20" t="s">
        <v>445</v>
      </c>
      <c r="AE36" s="20">
        <v>8468868242</v>
      </c>
      <c r="AF36" s="20"/>
      <c r="AG36" s="25" t="s">
        <v>704</v>
      </c>
      <c r="AH36" s="20" t="s">
        <v>761</v>
      </c>
      <c r="AI36" s="5" t="s">
        <v>799</v>
      </c>
      <c r="AJ36" s="20" t="s">
        <v>779</v>
      </c>
      <c r="AK36" s="20">
        <v>425408</v>
      </c>
      <c r="AL36" s="25" t="s">
        <v>704</v>
      </c>
      <c r="AM36" s="20" t="s">
        <v>761</v>
      </c>
      <c r="AN36" s="5" t="s">
        <v>799</v>
      </c>
      <c r="AO36" s="20" t="s">
        <v>779</v>
      </c>
      <c r="AP36" s="20">
        <v>425408</v>
      </c>
      <c r="AQ36" s="26" t="s">
        <v>839</v>
      </c>
      <c r="AR36" s="27" t="s">
        <v>862</v>
      </c>
      <c r="AS36" s="28" t="s">
        <v>894</v>
      </c>
      <c r="AT36" s="60" t="s">
        <v>283</v>
      </c>
    </row>
    <row r="37" spans="1:46" x14ac:dyDescent="0.25">
      <c r="A37" s="20">
        <v>32</v>
      </c>
      <c r="B37" s="21" t="s">
        <v>188</v>
      </c>
      <c r="C37" s="20" t="s">
        <v>50</v>
      </c>
      <c r="D37" s="22" t="s">
        <v>377</v>
      </c>
      <c r="E37" s="22" t="s">
        <v>446</v>
      </c>
      <c r="F37" s="22" t="s">
        <v>506</v>
      </c>
      <c r="G37" s="20" t="s">
        <v>64</v>
      </c>
      <c r="H37" s="20"/>
      <c r="I37" s="20" t="str">
        <f>VLOOKUP(B37,'[1]BILLING &amp; PAY SHEET'!$C$9:$H$109,6,0)</f>
        <v>25.07.2002</v>
      </c>
      <c r="J37" s="20" t="str">
        <f>VLOOKUP(B37,'[1]BILLING &amp; PAY SHEET'!$C$9:$I$109,7,0)</f>
        <v>03.01.2023</v>
      </c>
      <c r="K37" s="20" t="s">
        <v>67</v>
      </c>
      <c r="L37" s="20" t="s">
        <v>69</v>
      </c>
      <c r="M37" s="20" t="s">
        <v>539</v>
      </c>
      <c r="N37" s="4" t="s">
        <v>144</v>
      </c>
      <c r="O37" s="20" t="s">
        <v>542</v>
      </c>
      <c r="P37" s="20" t="s">
        <v>68</v>
      </c>
      <c r="Q37" s="23" t="s">
        <v>545</v>
      </c>
      <c r="R37" s="20" t="s">
        <v>46</v>
      </c>
      <c r="S37" s="20" t="s">
        <v>155</v>
      </c>
      <c r="T37" s="20" t="s">
        <v>43</v>
      </c>
      <c r="U37" s="20"/>
      <c r="V37" s="20" t="s">
        <v>576</v>
      </c>
      <c r="W37" s="24">
        <v>2504715821</v>
      </c>
      <c r="X37" s="20"/>
      <c r="Y37" s="23" t="e">
        <f>VLOOKUP(#REF!,[2]Sheet4!$C$2:$F$141,4,0)</f>
        <v>#REF!</v>
      </c>
      <c r="Z37" s="23">
        <v>523092665840</v>
      </c>
      <c r="AA37" s="20">
        <v>9607272893</v>
      </c>
      <c r="AB37" s="20" t="s">
        <v>1319</v>
      </c>
      <c r="AC37" s="20"/>
      <c r="AD37" s="20" t="s">
        <v>446</v>
      </c>
      <c r="AE37" s="20">
        <v>9607272893</v>
      </c>
      <c r="AF37" s="20"/>
      <c r="AG37" s="25" t="s">
        <v>704</v>
      </c>
      <c r="AH37" s="20" t="s">
        <v>761</v>
      </c>
      <c r="AI37" s="5" t="s">
        <v>799</v>
      </c>
      <c r="AJ37" s="20" t="s">
        <v>779</v>
      </c>
      <c r="AK37" s="20">
        <v>425408</v>
      </c>
      <c r="AL37" s="25" t="s">
        <v>704</v>
      </c>
      <c r="AM37" s="20" t="s">
        <v>761</v>
      </c>
      <c r="AN37" s="5" t="s">
        <v>799</v>
      </c>
      <c r="AO37" s="20" t="s">
        <v>779</v>
      </c>
      <c r="AP37" s="20">
        <v>425408</v>
      </c>
      <c r="AQ37" s="26" t="s">
        <v>839</v>
      </c>
      <c r="AR37" s="27" t="s">
        <v>863</v>
      </c>
      <c r="AS37" s="28" t="s">
        <v>894</v>
      </c>
      <c r="AT37" s="60" t="s">
        <v>284</v>
      </c>
    </row>
    <row r="38" spans="1:46" x14ac:dyDescent="0.25">
      <c r="A38" s="20">
        <v>33</v>
      </c>
      <c r="B38" s="21" t="s">
        <v>189</v>
      </c>
      <c r="C38" s="20" t="s">
        <v>50</v>
      </c>
      <c r="D38" s="22" t="s">
        <v>378</v>
      </c>
      <c r="E38" s="22" t="s">
        <v>447</v>
      </c>
      <c r="F38" s="22" t="s">
        <v>507</v>
      </c>
      <c r="G38" s="20" t="s">
        <v>64</v>
      </c>
      <c r="H38" s="20"/>
      <c r="I38" s="31">
        <v>33462</v>
      </c>
      <c r="J38" s="20" t="str">
        <f>VLOOKUP(B38,'[1]BILLING &amp; PAY SHEET'!$C$9:$I$109,7,0)</f>
        <v>03.01.2023</v>
      </c>
      <c r="K38" s="20" t="s">
        <v>67</v>
      </c>
      <c r="L38" s="20" t="s">
        <v>69</v>
      </c>
      <c r="M38" s="20" t="s">
        <v>539</v>
      </c>
      <c r="N38" s="4" t="s">
        <v>144</v>
      </c>
      <c r="O38" s="20" t="s">
        <v>542</v>
      </c>
      <c r="P38" s="20" t="s">
        <v>68</v>
      </c>
      <c r="Q38" s="23" t="s">
        <v>545</v>
      </c>
      <c r="R38" s="20" t="s">
        <v>46</v>
      </c>
      <c r="S38" s="20" t="s">
        <v>155</v>
      </c>
      <c r="T38" s="20" t="s">
        <v>43</v>
      </c>
      <c r="U38" s="20"/>
      <c r="V38" s="20" t="s">
        <v>577</v>
      </c>
      <c r="W38" s="24" t="s">
        <v>666</v>
      </c>
      <c r="X38" s="20"/>
      <c r="Y38" s="23" t="e">
        <f>VLOOKUP(#REF!,[2]Sheet4!$C$2:$F$141,4,0)</f>
        <v>#REF!</v>
      </c>
      <c r="Z38" s="23">
        <v>443099691091</v>
      </c>
      <c r="AA38" s="20">
        <v>8459842188</v>
      </c>
      <c r="AB38" s="20" t="s">
        <v>1185</v>
      </c>
      <c r="AC38" s="20"/>
      <c r="AD38" s="20" t="s">
        <v>447</v>
      </c>
      <c r="AE38" s="20">
        <v>8459842188</v>
      </c>
      <c r="AF38" s="20"/>
      <c r="AG38" s="25" t="s">
        <v>709</v>
      </c>
      <c r="AH38" s="20" t="s">
        <v>766</v>
      </c>
      <c r="AI38" s="5" t="s">
        <v>799</v>
      </c>
      <c r="AJ38" s="20" t="s">
        <v>781</v>
      </c>
      <c r="AK38" s="20">
        <v>424305</v>
      </c>
      <c r="AL38" s="25" t="s">
        <v>709</v>
      </c>
      <c r="AM38" s="20" t="s">
        <v>766</v>
      </c>
      <c r="AN38" s="5" t="s">
        <v>799</v>
      </c>
      <c r="AO38" s="20" t="s">
        <v>781</v>
      </c>
      <c r="AP38" s="20">
        <v>424305</v>
      </c>
      <c r="AQ38" s="26" t="s">
        <v>841</v>
      </c>
      <c r="AR38" s="27" t="s">
        <v>864</v>
      </c>
      <c r="AS38" s="28" t="s">
        <v>904</v>
      </c>
      <c r="AT38" s="60" t="s">
        <v>285</v>
      </c>
    </row>
    <row r="39" spans="1:46" x14ac:dyDescent="0.25">
      <c r="A39" s="20">
        <v>34</v>
      </c>
      <c r="B39" s="21" t="s">
        <v>190</v>
      </c>
      <c r="C39" s="20" t="s">
        <v>50</v>
      </c>
      <c r="D39" s="22" t="s">
        <v>379</v>
      </c>
      <c r="E39" s="22" t="s">
        <v>448</v>
      </c>
      <c r="F39" s="22" t="s">
        <v>508</v>
      </c>
      <c r="G39" s="20" t="s">
        <v>64</v>
      </c>
      <c r="H39" s="20"/>
      <c r="I39" s="20" t="str">
        <f>VLOOKUP(B39,'[1]BILLING &amp; PAY SHEET'!$C$9:$H$109,6,0)</f>
        <v>13.02.1995</v>
      </c>
      <c r="J39" s="20" t="str">
        <f>VLOOKUP(B39,'[1]BILLING &amp; PAY SHEET'!$C$9:$I$109,7,0)</f>
        <v>03.01.2023</v>
      </c>
      <c r="K39" s="20" t="s">
        <v>67</v>
      </c>
      <c r="L39" s="20" t="s">
        <v>69</v>
      </c>
      <c r="M39" s="20" t="s">
        <v>539</v>
      </c>
      <c r="N39" s="4" t="s">
        <v>144</v>
      </c>
      <c r="O39" s="20" t="s">
        <v>542</v>
      </c>
      <c r="P39" s="20" t="s">
        <v>68</v>
      </c>
      <c r="Q39" s="23" t="s">
        <v>545</v>
      </c>
      <c r="R39" s="20" t="s">
        <v>46</v>
      </c>
      <c r="S39" s="20" t="s">
        <v>155</v>
      </c>
      <c r="T39" s="20" t="s">
        <v>43</v>
      </c>
      <c r="U39" s="20"/>
      <c r="V39" s="20" t="s">
        <v>578</v>
      </c>
      <c r="W39" s="24" t="s">
        <v>667</v>
      </c>
      <c r="X39" s="20"/>
      <c r="Y39" s="23" t="e">
        <f>VLOOKUP(#REF!,[2]Sheet4!$C$2:$F$141,4,0)</f>
        <v>#REF!</v>
      </c>
      <c r="Z39" s="23">
        <v>870541692376</v>
      </c>
      <c r="AA39" s="20">
        <v>9309379294</v>
      </c>
      <c r="AB39" s="20" t="s">
        <v>1185</v>
      </c>
      <c r="AC39" s="20"/>
      <c r="AD39" s="20" t="s">
        <v>448</v>
      </c>
      <c r="AE39" s="20">
        <v>9309379294</v>
      </c>
      <c r="AF39" s="20"/>
      <c r="AG39" s="25" t="s">
        <v>710</v>
      </c>
      <c r="AH39" s="20" t="s">
        <v>767</v>
      </c>
      <c r="AI39" s="5" t="s">
        <v>799</v>
      </c>
      <c r="AJ39" s="20" t="s">
        <v>785</v>
      </c>
      <c r="AK39" s="20">
        <v>425452</v>
      </c>
      <c r="AL39" s="25" t="s">
        <v>710</v>
      </c>
      <c r="AM39" s="20" t="s">
        <v>767</v>
      </c>
      <c r="AN39" s="5" t="s">
        <v>799</v>
      </c>
      <c r="AO39" s="20" t="s">
        <v>785</v>
      </c>
      <c r="AP39" s="20">
        <v>425452</v>
      </c>
      <c r="AQ39" s="26" t="s">
        <v>840</v>
      </c>
      <c r="AR39" s="27" t="s">
        <v>865</v>
      </c>
      <c r="AS39" s="28" t="s">
        <v>905</v>
      </c>
      <c r="AT39" s="60" t="s">
        <v>286</v>
      </c>
    </row>
    <row r="40" spans="1:46" x14ac:dyDescent="0.25">
      <c r="A40" s="20">
        <v>35</v>
      </c>
      <c r="B40" s="21" t="s">
        <v>191</v>
      </c>
      <c r="C40" s="20" t="s">
        <v>50</v>
      </c>
      <c r="D40" s="22" t="s">
        <v>380</v>
      </c>
      <c r="E40" s="22" t="s">
        <v>449</v>
      </c>
      <c r="F40" s="22" t="s">
        <v>509</v>
      </c>
      <c r="G40" s="20" t="s">
        <v>64</v>
      </c>
      <c r="H40" s="20"/>
      <c r="I40" s="20" t="str">
        <f>VLOOKUP(B40,'[1]BILLING &amp; PAY SHEET'!$C$9:$H$109,6,0)</f>
        <v>01.01.2003</v>
      </c>
      <c r="J40" s="20" t="str">
        <f>VLOOKUP(B40,'[1]BILLING &amp; PAY SHEET'!$C$9:$I$109,7,0)</f>
        <v>03.01.2023</v>
      </c>
      <c r="K40" s="20" t="s">
        <v>67</v>
      </c>
      <c r="L40" s="20" t="s">
        <v>69</v>
      </c>
      <c r="M40" s="20" t="s">
        <v>539</v>
      </c>
      <c r="N40" s="4" t="s">
        <v>144</v>
      </c>
      <c r="O40" s="20" t="s">
        <v>542</v>
      </c>
      <c r="P40" s="20" t="s">
        <v>68</v>
      </c>
      <c r="Q40" s="23" t="s">
        <v>545</v>
      </c>
      <c r="R40" s="20" t="s">
        <v>46</v>
      </c>
      <c r="S40" s="20" t="s">
        <v>155</v>
      </c>
      <c r="T40" s="20" t="s">
        <v>43</v>
      </c>
      <c r="U40" s="20"/>
      <c r="V40" s="20" t="s">
        <v>579</v>
      </c>
      <c r="W40" s="24" t="s">
        <v>668</v>
      </c>
      <c r="X40" s="20"/>
      <c r="Y40" s="23" t="e">
        <f>VLOOKUP(#REF!,[2]Sheet4!$C$2:$F$141,4,0)</f>
        <v>#REF!</v>
      </c>
      <c r="Z40" s="23">
        <v>884612918012</v>
      </c>
      <c r="AA40" s="20">
        <v>9022925163</v>
      </c>
      <c r="AB40" s="20" t="s">
        <v>1319</v>
      </c>
      <c r="AC40" s="20"/>
      <c r="AD40" s="20" t="s">
        <v>449</v>
      </c>
      <c r="AE40" s="20">
        <v>9022925163</v>
      </c>
      <c r="AF40" s="20"/>
      <c r="AG40" s="25" t="s">
        <v>711</v>
      </c>
      <c r="AH40" s="20" t="s">
        <v>755</v>
      </c>
      <c r="AI40" s="5" t="s">
        <v>799</v>
      </c>
      <c r="AJ40" s="20" t="s">
        <v>784</v>
      </c>
      <c r="AK40" s="20">
        <v>424305</v>
      </c>
      <c r="AL40" s="25" t="s">
        <v>711</v>
      </c>
      <c r="AM40" s="20" t="s">
        <v>755</v>
      </c>
      <c r="AN40" s="5" t="s">
        <v>799</v>
      </c>
      <c r="AO40" s="20" t="s">
        <v>784</v>
      </c>
      <c r="AP40" s="20">
        <v>424305</v>
      </c>
      <c r="AQ40" s="26" t="s">
        <v>840</v>
      </c>
      <c r="AR40" s="27">
        <v>37616167628</v>
      </c>
      <c r="AS40" s="28" t="s">
        <v>895</v>
      </c>
      <c r="AT40" s="60" t="s">
        <v>287</v>
      </c>
    </row>
    <row r="41" spans="1:46" x14ac:dyDescent="0.25">
      <c r="A41" s="20">
        <v>36</v>
      </c>
      <c r="B41" s="21" t="s">
        <v>192</v>
      </c>
      <c r="C41" s="20" t="s">
        <v>50</v>
      </c>
      <c r="D41" s="22" t="s">
        <v>381</v>
      </c>
      <c r="E41" s="22" t="s">
        <v>447</v>
      </c>
      <c r="F41" s="22" t="s">
        <v>510</v>
      </c>
      <c r="G41" s="20" t="s">
        <v>64</v>
      </c>
      <c r="H41" s="20"/>
      <c r="I41" s="20" t="str">
        <f>VLOOKUP(B41,'[1]BILLING &amp; PAY SHEET'!$C$9:$H$109,6,0)</f>
        <v>09.09.1993</v>
      </c>
      <c r="J41" s="20" t="str">
        <f>VLOOKUP(B41,'[1]BILLING &amp; PAY SHEET'!$C$9:$I$109,7,0)</f>
        <v>03.01.2023</v>
      </c>
      <c r="K41" s="20" t="s">
        <v>67</v>
      </c>
      <c r="L41" s="20" t="s">
        <v>69</v>
      </c>
      <c r="M41" s="20" t="s">
        <v>539</v>
      </c>
      <c r="N41" s="4" t="s">
        <v>144</v>
      </c>
      <c r="O41" s="20" t="s">
        <v>542</v>
      </c>
      <c r="P41" s="20" t="s">
        <v>68</v>
      </c>
      <c r="Q41" s="23" t="s">
        <v>545</v>
      </c>
      <c r="R41" s="20" t="s">
        <v>46</v>
      </c>
      <c r="S41" s="20" t="s">
        <v>155</v>
      </c>
      <c r="T41" s="20" t="s">
        <v>43</v>
      </c>
      <c r="U41" s="20"/>
      <c r="V41" s="20" t="s">
        <v>580</v>
      </c>
      <c r="W41" s="24" t="s">
        <v>669</v>
      </c>
      <c r="X41" s="20"/>
      <c r="Y41" s="23" t="e">
        <f>VLOOKUP(#REF!,[2]Sheet4!$C$2:$F$141,4,0)</f>
        <v>#REF!</v>
      </c>
      <c r="Z41" s="23">
        <v>956542049084</v>
      </c>
      <c r="AA41" s="20">
        <v>9657173613</v>
      </c>
      <c r="AB41" s="20" t="s">
        <v>1319</v>
      </c>
      <c r="AC41" s="20"/>
      <c r="AD41" s="20" t="s">
        <v>447</v>
      </c>
      <c r="AE41" s="20">
        <v>9657173613</v>
      </c>
      <c r="AF41" s="20"/>
      <c r="AG41" s="25" t="s">
        <v>712</v>
      </c>
      <c r="AH41" s="20" t="s">
        <v>768</v>
      </c>
      <c r="AI41" s="5" t="s">
        <v>799</v>
      </c>
      <c r="AJ41" s="20" t="s">
        <v>784</v>
      </c>
      <c r="AK41" s="20">
        <v>424305</v>
      </c>
      <c r="AL41" s="25" t="s">
        <v>712</v>
      </c>
      <c r="AM41" s="20" t="s">
        <v>768</v>
      </c>
      <c r="AN41" s="5" t="s">
        <v>799</v>
      </c>
      <c r="AO41" s="20" t="s">
        <v>784</v>
      </c>
      <c r="AP41" s="20">
        <v>424305</v>
      </c>
      <c r="AQ41" s="26" t="s">
        <v>841</v>
      </c>
      <c r="AR41" s="27">
        <v>2965352065</v>
      </c>
      <c r="AS41" s="28" t="s">
        <v>896</v>
      </c>
      <c r="AT41" s="60" t="s">
        <v>288</v>
      </c>
    </row>
    <row r="42" spans="1:46" x14ac:dyDescent="0.25">
      <c r="A42" s="20">
        <v>37</v>
      </c>
      <c r="B42" s="21" t="s">
        <v>193</v>
      </c>
      <c r="C42" s="20" t="s">
        <v>50</v>
      </c>
      <c r="D42" s="22" t="s">
        <v>368</v>
      </c>
      <c r="E42" s="22" t="s">
        <v>450</v>
      </c>
      <c r="F42" s="22" t="s">
        <v>511</v>
      </c>
      <c r="G42" s="20" t="s">
        <v>64</v>
      </c>
      <c r="H42" s="20"/>
      <c r="I42" s="20" t="str">
        <f>VLOOKUP(B42,'[1]BILLING &amp; PAY SHEET'!$C$9:$H$109,6,0)</f>
        <v>13.05.1997</v>
      </c>
      <c r="J42" s="20" t="str">
        <f>VLOOKUP(B42,'[1]BILLING &amp; PAY SHEET'!$C$9:$I$109,7,0)</f>
        <v>03.01.2023</v>
      </c>
      <c r="K42" s="20" t="s">
        <v>67</v>
      </c>
      <c r="L42" s="20" t="s">
        <v>69</v>
      </c>
      <c r="M42" s="20" t="s">
        <v>539</v>
      </c>
      <c r="N42" s="4" t="s">
        <v>144</v>
      </c>
      <c r="O42" s="20" t="s">
        <v>542</v>
      </c>
      <c r="P42" s="20" t="s">
        <v>68</v>
      </c>
      <c r="Q42" s="23" t="s">
        <v>545</v>
      </c>
      <c r="R42" s="20" t="s">
        <v>46</v>
      </c>
      <c r="S42" s="20" t="s">
        <v>155</v>
      </c>
      <c r="T42" s="20" t="s">
        <v>43</v>
      </c>
      <c r="U42" s="20"/>
      <c r="V42" s="20" t="s">
        <v>581</v>
      </c>
      <c r="W42" s="24" t="s">
        <v>670</v>
      </c>
      <c r="X42" s="20"/>
      <c r="Y42" s="23" t="e">
        <f>VLOOKUP(#REF!,[2]Sheet4!$C$2:$F$141,4,0)</f>
        <v>#REF!</v>
      </c>
      <c r="Z42" s="23">
        <v>251666941561</v>
      </c>
      <c r="AA42" s="20">
        <v>8975805762</v>
      </c>
      <c r="AB42" s="20" t="s">
        <v>1319</v>
      </c>
      <c r="AC42" s="20"/>
      <c r="AD42" s="20" t="s">
        <v>450</v>
      </c>
      <c r="AE42" s="20">
        <v>8975805762</v>
      </c>
      <c r="AF42" s="20"/>
      <c r="AG42" s="25" t="s">
        <v>712</v>
      </c>
      <c r="AH42" s="20" t="s">
        <v>768</v>
      </c>
      <c r="AI42" s="5" t="s">
        <v>799</v>
      </c>
      <c r="AJ42" s="20" t="s">
        <v>784</v>
      </c>
      <c r="AK42" s="20">
        <v>424305</v>
      </c>
      <c r="AL42" s="25" t="s">
        <v>712</v>
      </c>
      <c r="AM42" s="20" t="s">
        <v>768</v>
      </c>
      <c r="AN42" s="5" t="s">
        <v>799</v>
      </c>
      <c r="AO42" s="20" t="s">
        <v>784</v>
      </c>
      <c r="AP42" s="20">
        <v>424305</v>
      </c>
      <c r="AQ42" s="26" t="s">
        <v>840</v>
      </c>
      <c r="AR42" s="27">
        <v>34005194271</v>
      </c>
      <c r="AS42" s="28" t="s">
        <v>895</v>
      </c>
      <c r="AT42" s="60" t="s">
        <v>289</v>
      </c>
    </row>
    <row r="43" spans="1:46" x14ac:dyDescent="0.25">
      <c r="A43" s="20">
        <v>38</v>
      </c>
      <c r="B43" s="21" t="s">
        <v>194</v>
      </c>
      <c r="C43" s="20" t="s">
        <v>50</v>
      </c>
      <c r="D43" s="22" t="s">
        <v>382</v>
      </c>
      <c r="E43" s="22" t="s">
        <v>438</v>
      </c>
      <c r="F43" s="22" t="s">
        <v>512</v>
      </c>
      <c r="G43" s="20" t="s">
        <v>64</v>
      </c>
      <c r="H43" s="20"/>
      <c r="I43" s="20" t="str">
        <f>VLOOKUP(B43,'[1]BILLING &amp; PAY SHEET'!$C$9:$H$109,6,0)</f>
        <v>03.05.2005</v>
      </c>
      <c r="J43" s="20" t="str">
        <f>VLOOKUP(B43,'[1]BILLING &amp; PAY SHEET'!$C$9:$I$109,7,0)</f>
        <v>03.01.2023</v>
      </c>
      <c r="K43" s="20" t="s">
        <v>67</v>
      </c>
      <c r="L43" s="20" t="s">
        <v>69</v>
      </c>
      <c r="M43" s="20" t="s">
        <v>539</v>
      </c>
      <c r="N43" s="4" t="s">
        <v>144</v>
      </c>
      <c r="O43" s="20" t="s">
        <v>542</v>
      </c>
      <c r="P43" s="20" t="s">
        <v>68</v>
      </c>
      <c r="Q43" s="23" t="s">
        <v>545</v>
      </c>
      <c r="R43" s="20" t="s">
        <v>46</v>
      </c>
      <c r="S43" s="20" t="s">
        <v>155</v>
      </c>
      <c r="T43" s="20" t="s">
        <v>43</v>
      </c>
      <c r="U43" s="20"/>
      <c r="V43" s="20" t="s">
        <v>582</v>
      </c>
      <c r="W43" s="24" t="s">
        <v>671</v>
      </c>
      <c r="X43" s="20"/>
      <c r="Y43" s="23" t="e">
        <f>VLOOKUP(#REF!,[2]Sheet4!$C$2:$F$141,4,0)</f>
        <v>#REF!</v>
      </c>
      <c r="Z43" s="23">
        <v>571037061202</v>
      </c>
      <c r="AA43" s="20">
        <v>8830927125</v>
      </c>
      <c r="AB43" s="20" t="s">
        <v>1319</v>
      </c>
      <c r="AC43" s="20"/>
      <c r="AD43" s="20" t="s">
        <v>438</v>
      </c>
      <c r="AE43" s="20">
        <v>8830927125</v>
      </c>
      <c r="AF43" s="20"/>
      <c r="AG43" s="25" t="s">
        <v>698</v>
      </c>
      <c r="AH43" s="20" t="s">
        <v>756</v>
      </c>
      <c r="AI43" s="5" t="s">
        <v>799</v>
      </c>
      <c r="AJ43" s="20" t="s">
        <v>781</v>
      </c>
      <c r="AK43" s="20">
        <v>424305</v>
      </c>
      <c r="AL43" s="25" t="s">
        <v>698</v>
      </c>
      <c r="AM43" s="20" t="s">
        <v>756</v>
      </c>
      <c r="AN43" s="5" t="s">
        <v>799</v>
      </c>
      <c r="AO43" s="20" t="s">
        <v>781</v>
      </c>
      <c r="AP43" s="20">
        <v>424305</v>
      </c>
      <c r="AQ43" s="26" t="s">
        <v>840</v>
      </c>
      <c r="AR43" s="27">
        <v>38714141554</v>
      </c>
      <c r="AS43" s="28" t="s">
        <v>895</v>
      </c>
      <c r="AT43" s="60" t="s">
        <v>290</v>
      </c>
    </row>
    <row r="44" spans="1:46" x14ac:dyDescent="0.25">
      <c r="A44" s="20">
        <v>39</v>
      </c>
      <c r="B44" s="21" t="s">
        <v>195</v>
      </c>
      <c r="C44" s="20" t="s">
        <v>50</v>
      </c>
      <c r="D44" s="22" t="s">
        <v>351</v>
      </c>
      <c r="E44" s="22" t="s">
        <v>431</v>
      </c>
      <c r="F44" s="22" t="s">
        <v>513</v>
      </c>
      <c r="G44" s="20" t="s">
        <v>64</v>
      </c>
      <c r="H44" s="20"/>
      <c r="I44" s="20" t="str">
        <f>VLOOKUP(B44,'[1]BILLING &amp; PAY SHEET'!$C$9:$H$109,6,0)</f>
        <v>01.06.1993</v>
      </c>
      <c r="J44" s="20" t="str">
        <f>VLOOKUP(B44,'[1]BILLING &amp; PAY SHEET'!$C$9:$I$109,7,0)</f>
        <v>03.01.2023</v>
      </c>
      <c r="K44" s="20" t="s">
        <v>67</v>
      </c>
      <c r="L44" s="20" t="s">
        <v>69</v>
      </c>
      <c r="M44" s="20" t="s">
        <v>539</v>
      </c>
      <c r="N44" s="4" t="s">
        <v>144</v>
      </c>
      <c r="O44" s="20" t="s">
        <v>542</v>
      </c>
      <c r="P44" s="20" t="s">
        <v>68</v>
      </c>
      <c r="Q44" s="23" t="s">
        <v>545</v>
      </c>
      <c r="R44" s="20" t="s">
        <v>46</v>
      </c>
      <c r="S44" s="20" t="s">
        <v>155</v>
      </c>
      <c r="T44" s="20" t="s">
        <v>43</v>
      </c>
      <c r="U44" s="20"/>
      <c r="V44" s="20" t="s">
        <v>583</v>
      </c>
      <c r="W44" s="24">
        <v>25047244915</v>
      </c>
      <c r="X44" s="20"/>
      <c r="Y44" s="23" t="e">
        <f>VLOOKUP(#REF!,[2]Sheet4!$C$2:$F$141,4,0)</f>
        <v>#REF!</v>
      </c>
      <c r="Z44" s="23">
        <v>489995739389</v>
      </c>
      <c r="AA44" s="20">
        <v>95038220952</v>
      </c>
      <c r="AB44" s="20" t="s">
        <v>1319</v>
      </c>
      <c r="AC44" s="20"/>
      <c r="AD44" s="20" t="s">
        <v>431</v>
      </c>
      <c r="AE44" s="20">
        <v>95038220952</v>
      </c>
      <c r="AF44" s="20"/>
      <c r="AG44" s="25" t="s">
        <v>712</v>
      </c>
      <c r="AH44" s="20" t="s">
        <v>768</v>
      </c>
      <c r="AI44" s="5" t="s">
        <v>799</v>
      </c>
      <c r="AJ44" s="20" t="s">
        <v>784</v>
      </c>
      <c r="AK44" s="20">
        <v>424305</v>
      </c>
      <c r="AL44" s="25" t="s">
        <v>712</v>
      </c>
      <c r="AM44" s="20" t="s">
        <v>768</v>
      </c>
      <c r="AN44" s="5" t="s">
        <v>799</v>
      </c>
      <c r="AO44" s="20" t="s">
        <v>784</v>
      </c>
      <c r="AP44" s="20">
        <v>424305</v>
      </c>
      <c r="AQ44" s="26" t="s">
        <v>841</v>
      </c>
      <c r="AR44" s="27">
        <v>3952611507</v>
      </c>
      <c r="AS44" s="28" t="s">
        <v>906</v>
      </c>
      <c r="AT44" s="60" t="s">
        <v>291</v>
      </c>
    </row>
    <row r="45" spans="1:46" x14ac:dyDescent="0.25">
      <c r="A45" s="20">
        <v>40</v>
      </c>
      <c r="B45" s="21" t="s">
        <v>196</v>
      </c>
      <c r="C45" s="20" t="s">
        <v>50</v>
      </c>
      <c r="D45" s="22" t="s">
        <v>383</v>
      </c>
      <c r="E45" s="22" t="s">
        <v>451</v>
      </c>
      <c r="F45" s="22" t="s">
        <v>514</v>
      </c>
      <c r="G45" s="20" t="s">
        <v>64</v>
      </c>
      <c r="H45" s="20"/>
      <c r="I45" s="20" t="str">
        <f>VLOOKUP(B45,'[1]BILLING &amp; PAY SHEET'!$C$9:$H$109,6,0)</f>
        <v>22.12.1995</v>
      </c>
      <c r="J45" s="20" t="str">
        <f>VLOOKUP(B45,'[1]BILLING &amp; PAY SHEET'!$C$9:$I$109,7,0)</f>
        <v>03.01.2023</v>
      </c>
      <c r="K45" s="20" t="s">
        <v>67</v>
      </c>
      <c r="L45" s="20" t="s">
        <v>69</v>
      </c>
      <c r="M45" s="20" t="s">
        <v>539</v>
      </c>
      <c r="N45" s="4" t="s">
        <v>144</v>
      </c>
      <c r="O45" s="20" t="s">
        <v>542</v>
      </c>
      <c r="P45" s="20" t="s">
        <v>68</v>
      </c>
      <c r="Q45" s="23" t="s">
        <v>545</v>
      </c>
      <c r="R45" s="20" t="s">
        <v>46</v>
      </c>
      <c r="S45" s="20" t="s">
        <v>155</v>
      </c>
      <c r="T45" s="20" t="s">
        <v>43</v>
      </c>
      <c r="U45" s="20"/>
      <c r="V45" s="20" t="s">
        <v>584</v>
      </c>
      <c r="W45" s="24">
        <v>3313603497</v>
      </c>
      <c r="X45" s="20"/>
      <c r="Y45" s="23" t="e">
        <f>VLOOKUP(#REF!,[2]Sheet4!$C$2:$F$141,4,0)</f>
        <v>#REF!</v>
      </c>
      <c r="Z45" s="23">
        <v>698149833336</v>
      </c>
      <c r="AA45" s="20">
        <v>7756942896</v>
      </c>
      <c r="AB45" s="20" t="s">
        <v>1319</v>
      </c>
      <c r="AC45" s="20"/>
      <c r="AD45" s="20" t="s">
        <v>451</v>
      </c>
      <c r="AE45" s="20">
        <v>7756942896</v>
      </c>
      <c r="AF45" s="20"/>
      <c r="AG45" s="25" t="s">
        <v>713</v>
      </c>
      <c r="AH45" s="20" t="s">
        <v>769</v>
      </c>
      <c r="AI45" s="5" t="s">
        <v>799</v>
      </c>
      <c r="AJ45" s="20" t="s">
        <v>787</v>
      </c>
      <c r="AK45" s="32">
        <v>425412</v>
      </c>
      <c r="AL45" s="25" t="s">
        <v>713</v>
      </c>
      <c r="AM45" s="20" t="s">
        <v>769</v>
      </c>
      <c r="AN45" s="5" t="s">
        <v>799</v>
      </c>
      <c r="AO45" s="20" t="s">
        <v>787</v>
      </c>
      <c r="AP45" s="32">
        <v>425412</v>
      </c>
      <c r="AQ45" s="26" t="s">
        <v>840</v>
      </c>
      <c r="AR45" s="27">
        <v>39926967819</v>
      </c>
      <c r="AS45" s="28" t="s">
        <v>907</v>
      </c>
      <c r="AT45" s="60" t="s">
        <v>292</v>
      </c>
    </row>
    <row r="46" spans="1:46" x14ac:dyDescent="0.25">
      <c r="A46" s="20">
        <v>41</v>
      </c>
      <c r="B46" s="21" t="s">
        <v>197</v>
      </c>
      <c r="C46" s="29" t="s">
        <v>54</v>
      </c>
      <c r="D46" s="22" t="s">
        <v>384</v>
      </c>
      <c r="E46" s="22" t="s">
        <v>452</v>
      </c>
      <c r="F46" s="22" t="s">
        <v>515</v>
      </c>
      <c r="G46" s="29" t="s">
        <v>65</v>
      </c>
      <c r="H46" s="20"/>
      <c r="I46" s="20" t="str">
        <f>VLOOKUP(B46,'[1]BILLING &amp; PAY SHEET'!$C$9:$H$109,6,0)</f>
        <v>27.08.1995</v>
      </c>
      <c r="J46" s="20" t="str">
        <f>VLOOKUP(B46,'[1]BILLING &amp; PAY SHEET'!$C$9:$I$109,7,0)</f>
        <v>08.01.2023</v>
      </c>
      <c r="K46" s="20" t="s">
        <v>67</v>
      </c>
      <c r="L46" s="20" t="s">
        <v>69</v>
      </c>
      <c r="M46" s="20" t="s">
        <v>539</v>
      </c>
      <c r="N46" s="4" t="s">
        <v>144</v>
      </c>
      <c r="O46" s="20" t="s">
        <v>542</v>
      </c>
      <c r="P46" s="20" t="s">
        <v>68</v>
      </c>
      <c r="Q46" s="23" t="s">
        <v>545</v>
      </c>
      <c r="R46" s="20" t="s">
        <v>46</v>
      </c>
      <c r="S46" s="20" t="s">
        <v>155</v>
      </c>
      <c r="T46" s="20" t="s">
        <v>43</v>
      </c>
      <c r="U46" s="20"/>
      <c r="V46" s="20" t="s">
        <v>585</v>
      </c>
      <c r="W46" s="24" t="s">
        <v>672</v>
      </c>
      <c r="X46" s="20"/>
      <c r="Y46" s="23" t="e">
        <f>VLOOKUP(#REF!,[2]Sheet4!$C$2:$F$141,4,0)</f>
        <v>#REF!</v>
      </c>
      <c r="Z46" s="23">
        <v>601340827582</v>
      </c>
      <c r="AA46" s="20">
        <v>9356742298</v>
      </c>
      <c r="AB46" s="20" t="s">
        <v>1185</v>
      </c>
      <c r="AC46" s="20"/>
      <c r="AD46" s="20" t="s">
        <v>452</v>
      </c>
      <c r="AE46" s="20">
        <v>9356742298</v>
      </c>
      <c r="AF46" s="20"/>
      <c r="AG46" s="25" t="s">
        <v>701</v>
      </c>
      <c r="AH46" s="20" t="s">
        <v>759</v>
      </c>
      <c r="AI46" s="5" t="s">
        <v>799</v>
      </c>
      <c r="AJ46" s="20" t="s">
        <v>784</v>
      </c>
      <c r="AK46" s="20">
        <v>424304</v>
      </c>
      <c r="AL46" s="25" t="s">
        <v>701</v>
      </c>
      <c r="AM46" s="20" t="s">
        <v>759</v>
      </c>
      <c r="AN46" s="5" t="s">
        <v>799</v>
      </c>
      <c r="AO46" s="20" t="s">
        <v>784</v>
      </c>
      <c r="AP46" s="20">
        <v>424304</v>
      </c>
      <c r="AQ46" s="26" t="s">
        <v>840</v>
      </c>
      <c r="AR46" s="27">
        <v>31402230631</v>
      </c>
      <c r="AS46" s="28" t="s">
        <v>898</v>
      </c>
      <c r="AT46" s="60" t="s">
        <v>293</v>
      </c>
    </row>
    <row r="47" spans="1:46" x14ac:dyDescent="0.25">
      <c r="A47" s="20">
        <v>42</v>
      </c>
      <c r="B47" s="21" t="s">
        <v>198</v>
      </c>
      <c r="C47" s="29" t="s">
        <v>54</v>
      </c>
      <c r="D47" s="22" t="s">
        <v>385</v>
      </c>
      <c r="E47" s="22" t="s">
        <v>417</v>
      </c>
      <c r="F47" s="22" t="s">
        <v>494</v>
      </c>
      <c r="G47" s="29" t="s">
        <v>65</v>
      </c>
      <c r="H47" s="20"/>
      <c r="I47" s="20" t="str">
        <f>VLOOKUP(B47,'[1]BILLING &amp; PAY SHEET'!$C$9:$H$109,6,0)</f>
        <v>01.08.1988</v>
      </c>
      <c r="J47" s="20" t="str">
        <f>VLOOKUP(B47,'[1]BILLING &amp; PAY SHEET'!$C$9:$I$109,7,0)</f>
        <v>08.01.2023</v>
      </c>
      <c r="K47" s="20" t="s">
        <v>67</v>
      </c>
      <c r="L47" s="20" t="s">
        <v>69</v>
      </c>
      <c r="M47" s="20" t="s">
        <v>539</v>
      </c>
      <c r="N47" s="4" t="s">
        <v>144</v>
      </c>
      <c r="O47" s="20" t="s">
        <v>542</v>
      </c>
      <c r="P47" s="20" t="s">
        <v>68</v>
      </c>
      <c r="Q47" s="23" t="s">
        <v>545</v>
      </c>
      <c r="R47" s="20" t="s">
        <v>46</v>
      </c>
      <c r="S47" s="20" t="s">
        <v>155</v>
      </c>
      <c r="T47" s="20" t="s">
        <v>43</v>
      </c>
      <c r="U47" s="20"/>
      <c r="V47" s="20" t="s">
        <v>586</v>
      </c>
      <c r="W47" s="24">
        <v>2504715390</v>
      </c>
      <c r="X47" s="20"/>
      <c r="Y47" s="23" t="e">
        <f>VLOOKUP(#REF!,[3]Sheet1!$C$2:$E$8,3,0)</f>
        <v>#REF!</v>
      </c>
      <c r="Z47" s="23">
        <v>207265352483</v>
      </c>
      <c r="AA47" s="20">
        <v>7770030968</v>
      </c>
      <c r="AB47" s="20" t="s">
        <v>1185</v>
      </c>
      <c r="AC47" s="20"/>
      <c r="AD47" s="20" t="s">
        <v>417</v>
      </c>
      <c r="AE47" s="20">
        <v>7770030968</v>
      </c>
      <c r="AF47" s="20"/>
      <c r="AG47" s="25" t="s">
        <v>706</v>
      </c>
      <c r="AH47" s="20" t="s">
        <v>763</v>
      </c>
      <c r="AI47" s="5" t="s">
        <v>799</v>
      </c>
      <c r="AJ47" s="20" t="s">
        <v>784</v>
      </c>
      <c r="AK47" s="20">
        <v>424304</v>
      </c>
      <c r="AL47" s="25" t="s">
        <v>706</v>
      </c>
      <c r="AM47" s="20" t="s">
        <v>763</v>
      </c>
      <c r="AN47" s="5" t="s">
        <v>799</v>
      </c>
      <c r="AO47" s="20" t="s">
        <v>784</v>
      </c>
      <c r="AP47" s="20">
        <v>424304</v>
      </c>
      <c r="AQ47" s="26" t="s">
        <v>841</v>
      </c>
      <c r="AR47" s="27">
        <v>4051922482</v>
      </c>
      <c r="AS47" s="28" t="s">
        <v>904</v>
      </c>
      <c r="AT47" s="60" t="s">
        <v>294</v>
      </c>
    </row>
    <row r="48" spans="1:46" x14ac:dyDescent="0.25">
      <c r="A48" s="20">
        <v>43</v>
      </c>
      <c r="B48" s="21" t="s">
        <v>199</v>
      </c>
      <c r="C48" s="29" t="s">
        <v>54</v>
      </c>
      <c r="D48" s="22" t="s">
        <v>386</v>
      </c>
      <c r="E48" s="22" t="s">
        <v>422</v>
      </c>
      <c r="F48" s="22" t="s">
        <v>516</v>
      </c>
      <c r="G48" s="29" t="s">
        <v>65</v>
      </c>
      <c r="H48" s="20"/>
      <c r="I48" s="20" t="str">
        <f>VLOOKUP(B48,'[1]BILLING &amp; PAY SHEET'!$C$9:$H$109,6,0)</f>
        <v>13.03.1993</v>
      </c>
      <c r="J48" s="20" t="str">
        <f>VLOOKUP(B48,'[1]BILLING &amp; PAY SHEET'!$C$9:$I$109,7,0)</f>
        <v>08.01.2023</v>
      </c>
      <c r="K48" s="20" t="s">
        <v>67</v>
      </c>
      <c r="L48" s="20" t="s">
        <v>69</v>
      </c>
      <c r="M48" s="20" t="s">
        <v>540</v>
      </c>
      <c r="N48" s="4" t="s">
        <v>144</v>
      </c>
      <c r="O48" s="20" t="s">
        <v>543</v>
      </c>
      <c r="P48" s="20" t="s">
        <v>68</v>
      </c>
      <c r="Q48" s="23" t="s">
        <v>545</v>
      </c>
      <c r="R48" s="20" t="s">
        <v>46</v>
      </c>
      <c r="S48" s="20" t="s">
        <v>155</v>
      </c>
      <c r="T48" s="20" t="s">
        <v>43</v>
      </c>
      <c r="U48" s="20"/>
      <c r="V48" s="20" t="s">
        <v>587</v>
      </c>
      <c r="W48" s="24">
        <v>2504715410</v>
      </c>
      <c r="X48" s="20"/>
      <c r="Y48" s="23" t="e">
        <f>VLOOKUP(#REF!,[2]Sheet4!$C$2:$F$141,4,0)</f>
        <v>#REF!</v>
      </c>
      <c r="Z48" s="23">
        <v>599311870185</v>
      </c>
      <c r="AA48" s="20">
        <v>8007660855</v>
      </c>
      <c r="AB48" s="20" t="s">
        <v>1185</v>
      </c>
      <c r="AC48" s="20"/>
      <c r="AD48" s="20" t="s">
        <v>422</v>
      </c>
      <c r="AE48" s="20">
        <v>8007660855</v>
      </c>
      <c r="AF48" s="20"/>
      <c r="AG48" s="25" t="s">
        <v>706</v>
      </c>
      <c r="AH48" s="20" t="s">
        <v>763</v>
      </c>
      <c r="AI48" s="5" t="s">
        <v>799</v>
      </c>
      <c r="AJ48" s="20" t="s">
        <v>784</v>
      </c>
      <c r="AK48" s="20">
        <v>424304</v>
      </c>
      <c r="AL48" s="25" t="s">
        <v>706</v>
      </c>
      <c r="AM48" s="20" t="s">
        <v>763</v>
      </c>
      <c r="AN48" s="5" t="s">
        <v>799</v>
      </c>
      <c r="AO48" s="20" t="s">
        <v>784</v>
      </c>
      <c r="AP48" s="20">
        <v>424304</v>
      </c>
      <c r="AQ48" s="26" t="s">
        <v>841</v>
      </c>
      <c r="AR48" s="27">
        <v>5480155563</v>
      </c>
      <c r="AS48" s="28" t="s">
        <v>904</v>
      </c>
      <c r="AT48" s="60" t="s">
        <v>295</v>
      </c>
    </row>
    <row r="49" spans="1:46" x14ac:dyDescent="0.25">
      <c r="A49" s="20">
        <v>44</v>
      </c>
      <c r="B49" s="21" t="s">
        <v>200</v>
      </c>
      <c r="C49" s="20" t="s">
        <v>50</v>
      </c>
      <c r="D49" s="22" t="s">
        <v>382</v>
      </c>
      <c r="E49" s="22" t="s">
        <v>356</v>
      </c>
      <c r="F49" s="22" t="s">
        <v>517</v>
      </c>
      <c r="G49" s="20" t="s">
        <v>64</v>
      </c>
      <c r="H49" s="20"/>
      <c r="I49" s="20" t="str">
        <f>VLOOKUP(B49,'[1]BILLING &amp; PAY SHEET'!$C$9:$H$109,6,0)</f>
        <v>29.03.1999</v>
      </c>
      <c r="J49" s="20" t="str">
        <f>VLOOKUP(B49,'[1]BILLING &amp; PAY SHEET'!$C$9:$I$109,7,0)</f>
        <v>09.02.2024</v>
      </c>
      <c r="K49" s="20" t="s">
        <v>67</v>
      </c>
      <c r="L49" s="20" t="s">
        <v>69</v>
      </c>
      <c r="M49" s="20" t="s">
        <v>541</v>
      </c>
      <c r="N49" s="4" t="s">
        <v>144</v>
      </c>
      <c r="O49" s="20" t="s">
        <v>544</v>
      </c>
      <c r="P49" s="20" t="s">
        <v>68</v>
      </c>
      <c r="Q49" s="23" t="s">
        <v>545</v>
      </c>
      <c r="R49" s="20" t="s">
        <v>46</v>
      </c>
      <c r="S49" s="20" t="s">
        <v>155</v>
      </c>
      <c r="T49" s="20" t="s">
        <v>43</v>
      </c>
      <c r="U49" s="20"/>
      <c r="V49" s="20" t="s">
        <v>588</v>
      </c>
      <c r="W49" s="24" t="s">
        <v>673</v>
      </c>
      <c r="X49" s="20"/>
      <c r="Y49" s="23" t="e">
        <f>VLOOKUP(#REF!,[2]Sheet4!$C$2:$F$141,4,0)</f>
        <v>#REF!</v>
      </c>
      <c r="Z49" s="23">
        <v>403677258448</v>
      </c>
      <c r="AA49" s="20">
        <v>9921401127</v>
      </c>
      <c r="AB49" s="20" t="s">
        <v>1319</v>
      </c>
      <c r="AC49" s="20"/>
      <c r="AD49" s="20" t="s">
        <v>356</v>
      </c>
      <c r="AE49" s="20">
        <v>9921401127</v>
      </c>
      <c r="AF49" s="20"/>
      <c r="AG49" s="25" t="s">
        <v>714</v>
      </c>
      <c r="AH49" s="20" t="s">
        <v>926</v>
      </c>
      <c r="AI49" s="5" t="s">
        <v>799</v>
      </c>
      <c r="AJ49" s="20" t="s">
        <v>948</v>
      </c>
      <c r="AK49" s="20">
        <v>422007</v>
      </c>
      <c r="AL49" s="25" t="s">
        <v>714</v>
      </c>
      <c r="AM49" s="20" t="s">
        <v>926</v>
      </c>
      <c r="AN49" s="5" t="s">
        <v>799</v>
      </c>
      <c r="AO49" s="20" t="s">
        <v>948</v>
      </c>
      <c r="AP49" s="20">
        <v>422007</v>
      </c>
      <c r="AQ49" s="26" t="s">
        <v>843</v>
      </c>
      <c r="AR49" s="27">
        <v>953218210004105</v>
      </c>
      <c r="AS49" s="28" t="s">
        <v>908</v>
      </c>
      <c r="AT49" s="60" t="s">
        <v>296</v>
      </c>
    </row>
    <row r="50" spans="1:46" x14ac:dyDescent="0.25">
      <c r="A50" s="20">
        <v>45</v>
      </c>
      <c r="B50" s="21" t="s">
        <v>201</v>
      </c>
      <c r="C50" s="20" t="s">
        <v>50</v>
      </c>
      <c r="D50" s="22" t="s">
        <v>387</v>
      </c>
      <c r="E50" s="22" t="s">
        <v>454</v>
      </c>
      <c r="F50" s="22" t="s">
        <v>518</v>
      </c>
      <c r="G50" s="20" t="s">
        <v>64</v>
      </c>
      <c r="H50" s="20"/>
      <c r="I50" s="20" t="str">
        <f>VLOOKUP(B50,'[1]BILLING &amp; PAY SHEET'!$C$9:$H$109,6,0)</f>
        <v>14.02.1998</v>
      </c>
      <c r="J50" s="20" t="str">
        <f>VLOOKUP(B50,'[1]BILLING &amp; PAY SHEET'!$C$9:$I$109,7,0)</f>
        <v>09.02.2024</v>
      </c>
      <c r="K50" s="20" t="s">
        <v>67</v>
      </c>
      <c r="L50" s="20" t="s">
        <v>69</v>
      </c>
      <c r="M50" s="20" t="s">
        <v>539</v>
      </c>
      <c r="N50" s="4" t="s">
        <v>144</v>
      </c>
      <c r="O50" s="20" t="s">
        <v>542</v>
      </c>
      <c r="P50" s="20" t="s">
        <v>68</v>
      </c>
      <c r="Q50" s="23" t="s">
        <v>545</v>
      </c>
      <c r="R50" s="20" t="s">
        <v>46</v>
      </c>
      <c r="S50" s="20" t="s">
        <v>155</v>
      </c>
      <c r="T50" s="20" t="s">
        <v>43</v>
      </c>
      <c r="U50" s="20"/>
      <c r="V50" s="20" t="s">
        <v>589</v>
      </c>
      <c r="W50" s="24">
        <v>2504757890</v>
      </c>
      <c r="X50" s="20"/>
      <c r="Y50" s="23" t="e">
        <f>VLOOKUP(#REF!,[2]Sheet4!$C$2:$F$141,4,0)</f>
        <v>#REF!</v>
      </c>
      <c r="Z50" s="23">
        <v>391272941105</v>
      </c>
      <c r="AA50" s="20">
        <v>9168823072</v>
      </c>
      <c r="AB50" s="20" t="s">
        <v>1319</v>
      </c>
      <c r="AC50" s="20"/>
      <c r="AD50" s="20" t="s">
        <v>454</v>
      </c>
      <c r="AE50" s="20">
        <v>9168823072</v>
      </c>
      <c r="AF50" s="20"/>
      <c r="AG50" s="25" t="s">
        <v>715</v>
      </c>
      <c r="AH50" s="20" t="s">
        <v>723</v>
      </c>
      <c r="AI50" s="5" t="s">
        <v>799</v>
      </c>
      <c r="AJ50" s="20" t="s">
        <v>779</v>
      </c>
      <c r="AK50" s="20">
        <v>425408</v>
      </c>
      <c r="AL50" s="25" t="s">
        <v>715</v>
      </c>
      <c r="AM50" s="20" t="s">
        <v>723</v>
      </c>
      <c r="AN50" s="5" t="s">
        <v>799</v>
      </c>
      <c r="AO50" s="20" t="s">
        <v>779</v>
      </c>
      <c r="AP50" s="20">
        <v>425408</v>
      </c>
      <c r="AQ50" s="26" t="s">
        <v>844</v>
      </c>
      <c r="AR50" s="27">
        <v>50100538734040</v>
      </c>
      <c r="AS50" s="28" t="s">
        <v>909</v>
      </c>
      <c r="AT50" s="60" t="s">
        <v>297</v>
      </c>
    </row>
    <row r="51" spans="1:46" x14ac:dyDescent="0.25">
      <c r="A51" s="20">
        <v>46</v>
      </c>
      <c r="B51" s="21" t="s">
        <v>202</v>
      </c>
      <c r="C51" s="20" t="s">
        <v>50</v>
      </c>
      <c r="D51" s="22" t="s">
        <v>389</v>
      </c>
      <c r="E51" s="22" t="s">
        <v>455</v>
      </c>
      <c r="F51" s="22" t="s">
        <v>496</v>
      </c>
      <c r="G51" s="20" t="s">
        <v>64</v>
      </c>
      <c r="H51" s="20"/>
      <c r="I51" s="20" t="str">
        <f>VLOOKUP(B51,'[1]BILLING &amp; PAY SHEET'!$C$9:$H$109,6,0)</f>
        <v>15.06.2003</v>
      </c>
      <c r="J51" s="20" t="str">
        <f>VLOOKUP(B51,'[1]BILLING &amp; PAY SHEET'!$C$9:$I$109,7,0)</f>
        <v>09.02.2024</v>
      </c>
      <c r="K51" s="20" t="s">
        <v>67</v>
      </c>
      <c r="L51" s="20" t="s">
        <v>69</v>
      </c>
      <c r="M51" s="20" t="s">
        <v>539</v>
      </c>
      <c r="N51" s="4" t="s">
        <v>144</v>
      </c>
      <c r="O51" s="20" t="s">
        <v>542</v>
      </c>
      <c r="P51" s="20" t="s">
        <v>68</v>
      </c>
      <c r="Q51" s="23" t="s">
        <v>545</v>
      </c>
      <c r="R51" s="20" t="s">
        <v>46</v>
      </c>
      <c r="S51" s="20" t="s">
        <v>155</v>
      </c>
      <c r="T51" s="20" t="s">
        <v>43</v>
      </c>
      <c r="U51" s="20"/>
      <c r="V51" s="20" t="s">
        <v>590</v>
      </c>
      <c r="W51" s="24">
        <v>2504758777</v>
      </c>
      <c r="X51" s="20"/>
      <c r="Y51" s="23" t="e">
        <f>VLOOKUP(#REF!,[2]Sheet4!$C$2:$F$141,4,0)</f>
        <v>#REF!</v>
      </c>
      <c r="Z51" s="23">
        <v>913022226099</v>
      </c>
      <c r="AA51" s="20">
        <v>8390606661</v>
      </c>
      <c r="AB51" s="20" t="s">
        <v>1319</v>
      </c>
      <c r="AC51" s="20"/>
      <c r="AD51" s="20" t="s">
        <v>455</v>
      </c>
      <c r="AE51" s="20">
        <v>8390606661</v>
      </c>
      <c r="AF51" s="20"/>
      <c r="AG51" s="25" t="s">
        <v>716</v>
      </c>
      <c r="AH51" s="20" t="s">
        <v>770</v>
      </c>
      <c r="AI51" s="5" t="s">
        <v>799</v>
      </c>
      <c r="AJ51" s="20" t="s">
        <v>781</v>
      </c>
      <c r="AK51" s="20">
        <v>425408</v>
      </c>
      <c r="AL51" s="25" t="s">
        <v>716</v>
      </c>
      <c r="AM51" s="20" t="s">
        <v>770</v>
      </c>
      <c r="AN51" s="5" t="s">
        <v>799</v>
      </c>
      <c r="AO51" s="20" t="s">
        <v>781</v>
      </c>
      <c r="AP51" s="20">
        <v>425408</v>
      </c>
      <c r="AQ51" s="26" t="s">
        <v>842</v>
      </c>
      <c r="AR51" s="27">
        <v>345902120007124</v>
      </c>
      <c r="AS51" s="28" t="s">
        <v>900</v>
      </c>
      <c r="AT51" s="60" t="s">
        <v>298</v>
      </c>
    </row>
    <row r="52" spans="1:46" x14ac:dyDescent="0.25">
      <c r="A52" s="20">
        <v>47</v>
      </c>
      <c r="B52" s="21" t="s">
        <v>203</v>
      </c>
      <c r="C52" s="20" t="s">
        <v>50</v>
      </c>
      <c r="D52" s="22" t="s">
        <v>390</v>
      </c>
      <c r="E52" s="22" t="s">
        <v>438</v>
      </c>
      <c r="F52" s="22" t="s">
        <v>502</v>
      </c>
      <c r="G52" s="20" t="s">
        <v>64</v>
      </c>
      <c r="H52" s="20"/>
      <c r="I52" s="20" t="str">
        <f>VLOOKUP(B52,'[1]BILLING &amp; PAY SHEET'!$C$9:$H$109,6,0)</f>
        <v>03.05.2000</v>
      </c>
      <c r="J52" s="20" t="str">
        <f>VLOOKUP(B52,'[1]BILLING &amp; PAY SHEET'!$C$9:$I$109,7,0)</f>
        <v>09.02.2024</v>
      </c>
      <c r="K52" s="20" t="s">
        <v>67</v>
      </c>
      <c r="L52" s="20" t="s">
        <v>69</v>
      </c>
      <c r="M52" s="20" t="s">
        <v>539</v>
      </c>
      <c r="N52" s="4" t="s">
        <v>144</v>
      </c>
      <c r="O52" s="20" t="s">
        <v>542</v>
      </c>
      <c r="P52" s="20" t="s">
        <v>68</v>
      </c>
      <c r="Q52" s="23" t="s">
        <v>545</v>
      </c>
      <c r="R52" s="20" t="s">
        <v>46</v>
      </c>
      <c r="S52" s="20" t="s">
        <v>155</v>
      </c>
      <c r="T52" s="20" t="s">
        <v>43</v>
      </c>
      <c r="U52" s="20"/>
      <c r="V52" s="20" t="s">
        <v>591</v>
      </c>
      <c r="W52" s="24">
        <v>2504758791</v>
      </c>
      <c r="X52" s="20"/>
      <c r="Y52" s="23" t="e">
        <f>VLOOKUP(#REF!,[2]Sheet4!$C$2:$F$141,4,0)</f>
        <v>#REF!</v>
      </c>
      <c r="Z52" s="23">
        <v>553440702594</v>
      </c>
      <c r="AA52" s="20">
        <v>7499266490</v>
      </c>
      <c r="AB52" s="20" t="s">
        <v>1319</v>
      </c>
      <c r="AC52" s="20"/>
      <c r="AD52" s="20" t="s">
        <v>438</v>
      </c>
      <c r="AE52" s="20">
        <v>7499266490</v>
      </c>
      <c r="AF52" s="20"/>
      <c r="AG52" s="25" t="s">
        <v>717</v>
      </c>
      <c r="AH52" s="20" t="s">
        <v>927</v>
      </c>
      <c r="AI52" s="5" t="s">
        <v>799</v>
      </c>
      <c r="AJ52" s="20" t="s">
        <v>781</v>
      </c>
      <c r="AK52" s="20">
        <v>424304</v>
      </c>
      <c r="AL52" s="25" t="s">
        <v>717</v>
      </c>
      <c r="AM52" s="20" t="s">
        <v>927</v>
      </c>
      <c r="AN52" s="5" t="s">
        <v>799</v>
      </c>
      <c r="AO52" s="20" t="s">
        <v>781</v>
      </c>
      <c r="AP52" s="20">
        <v>424304</v>
      </c>
      <c r="AQ52" s="26" t="s">
        <v>840</v>
      </c>
      <c r="AR52" s="27">
        <v>37970002487</v>
      </c>
      <c r="AS52" s="28" t="s">
        <v>905</v>
      </c>
      <c r="AT52" s="60" t="s">
        <v>299</v>
      </c>
    </row>
    <row r="53" spans="1:46" x14ac:dyDescent="0.25">
      <c r="A53" s="20">
        <v>48</v>
      </c>
      <c r="B53" s="21" t="s">
        <v>204</v>
      </c>
      <c r="C53" s="20" t="s">
        <v>50</v>
      </c>
      <c r="D53" s="22" t="s">
        <v>391</v>
      </c>
      <c r="E53" s="22" t="s">
        <v>456</v>
      </c>
      <c r="F53" s="22" t="s">
        <v>519</v>
      </c>
      <c r="G53" s="20" t="s">
        <v>64</v>
      </c>
      <c r="H53" s="20"/>
      <c r="I53" s="20" t="str">
        <f>VLOOKUP(B53,'[1]BILLING &amp; PAY SHEET'!$C$9:$H$109,6,0)</f>
        <v>09.02.1999</v>
      </c>
      <c r="J53" s="20" t="str">
        <f>VLOOKUP(B53,'[1]BILLING &amp; PAY SHEET'!$C$9:$I$109,7,0)</f>
        <v>28.06.2024</v>
      </c>
      <c r="K53" s="20" t="s">
        <v>67</v>
      </c>
      <c r="L53" s="20" t="s">
        <v>69</v>
      </c>
      <c r="M53" s="20" t="s">
        <v>539</v>
      </c>
      <c r="N53" s="4" t="s">
        <v>144</v>
      </c>
      <c r="O53" s="20" t="s">
        <v>542</v>
      </c>
      <c r="P53" s="20" t="s">
        <v>68</v>
      </c>
      <c r="Q53" s="23" t="s">
        <v>545</v>
      </c>
      <c r="R53" s="20" t="s">
        <v>46</v>
      </c>
      <c r="S53" s="20" t="s">
        <v>155</v>
      </c>
      <c r="T53" s="20" t="s">
        <v>43</v>
      </c>
      <c r="U53" s="20"/>
      <c r="V53" s="20" t="s">
        <v>592</v>
      </c>
      <c r="W53" s="24" t="s">
        <v>674</v>
      </c>
      <c r="X53" s="20"/>
      <c r="Y53" s="23" t="e">
        <f>VLOOKUP(#REF!,[2]Sheet4!$C$2:$F$141,4,0)</f>
        <v>#REF!</v>
      </c>
      <c r="Z53" s="23">
        <v>569193894351</v>
      </c>
      <c r="AA53" s="20">
        <v>7448117118</v>
      </c>
      <c r="AB53" s="20" t="s">
        <v>1319</v>
      </c>
      <c r="AC53" s="20"/>
      <c r="AD53" s="20" t="s">
        <v>456</v>
      </c>
      <c r="AE53" s="20">
        <v>7448117118</v>
      </c>
      <c r="AF53" s="20"/>
      <c r="AG53" s="25" t="e">
        <f>AG53:AK53SWAMI VEVEKANAND CHAUK  DHULE (MH)</f>
        <v>#NAME?</v>
      </c>
      <c r="AH53" s="20" t="s">
        <v>787</v>
      </c>
      <c r="AI53" s="5" t="s">
        <v>799</v>
      </c>
      <c r="AJ53" s="20" t="s">
        <v>781</v>
      </c>
      <c r="AK53" s="20">
        <v>424002</v>
      </c>
      <c r="AL53" s="25" t="s">
        <v>949</v>
      </c>
      <c r="AM53" s="20" t="s">
        <v>787</v>
      </c>
      <c r="AN53" s="5" t="s">
        <v>799</v>
      </c>
      <c r="AO53" s="20" t="s">
        <v>781</v>
      </c>
      <c r="AP53" s="20">
        <v>424002</v>
      </c>
      <c r="AQ53" s="26" t="s">
        <v>840</v>
      </c>
      <c r="AR53" s="27">
        <v>34251797095</v>
      </c>
      <c r="AS53" s="28" t="s">
        <v>895</v>
      </c>
      <c r="AT53" s="60" t="s">
        <v>300</v>
      </c>
    </row>
    <row r="54" spans="1:46" x14ac:dyDescent="0.25">
      <c r="A54" s="20">
        <v>49</v>
      </c>
      <c r="B54" s="21" t="s">
        <v>205</v>
      </c>
      <c r="C54" s="20" t="s">
        <v>50</v>
      </c>
      <c r="D54" s="22" t="s">
        <v>392</v>
      </c>
      <c r="E54" s="22" t="s">
        <v>457</v>
      </c>
      <c r="F54" s="22" t="s">
        <v>520</v>
      </c>
      <c r="G54" s="20" t="s">
        <v>64</v>
      </c>
      <c r="H54" s="20"/>
      <c r="I54" s="20" t="str">
        <f>VLOOKUP(B54,'[1]BILLING &amp; PAY SHEET'!$C$9:$H$109,6,0)</f>
        <v>10.05.1998</v>
      </c>
      <c r="J54" s="20" t="str">
        <f>VLOOKUP(B54,'[1]BILLING &amp; PAY SHEET'!$C$9:$I$109,7,0)</f>
        <v>28.06.2024</v>
      </c>
      <c r="K54" s="20" t="s">
        <v>67</v>
      </c>
      <c r="L54" s="20" t="s">
        <v>69</v>
      </c>
      <c r="M54" s="20" t="s">
        <v>539</v>
      </c>
      <c r="N54" s="4" t="s">
        <v>144</v>
      </c>
      <c r="O54" s="20" t="s">
        <v>542</v>
      </c>
      <c r="P54" s="20" t="s">
        <v>68</v>
      </c>
      <c r="Q54" s="23" t="s">
        <v>545</v>
      </c>
      <c r="R54" s="20" t="s">
        <v>46</v>
      </c>
      <c r="S54" s="20" t="s">
        <v>155</v>
      </c>
      <c r="T54" s="20" t="s">
        <v>43</v>
      </c>
      <c r="U54" s="20"/>
      <c r="V54" s="20" t="s">
        <v>593</v>
      </c>
      <c r="W54" s="24">
        <v>2504798974</v>
      </c>
      <c r="X54" s="20"/>
      <c r="Y54" s="23" t="e">
        <f>VLOOKUP(#REF!,[2]Sheet4!$C$2:$F$141,4,0)</f>
        <v>#REF!</v>
      </c>
      <c r="Z54" s="23">
        <v>947004115901</v>
      </c>
      <c r="AA54" s="20">
        <v>9325737791</v>
      </c>
      <c r="AB54" s="20" t="s">
        <v>1319</v>
      </c>
      <c r="AC54" s="20"/>
      <c r="AD54" s="20" t="s">
        <v>457</v>
      </c>
      <c r="AE54" s="20">
        <v>9325737791</v>
      </c>
      <c r="AF54" s="20"/>
      <c r="AG54" s="25" t="s">
        <v>718</v>
      </c>
      <c r="AH54" s="20" t="s">
        <v>771</v>
      </c>
      <c r="AI54" s="5" t="s">
        <v>799</v>
      </c>
      <c r="AJ54" s="20" t="s">
        <v>781</v>
      </c>
      <c r="AK54" s="20">
        <v>425408</v>
      </c>
      <c r="AL54" s="25" t="s">
        <v>718</v>
      </c>
      <c r="AM54" s="20" t="s">
        <v>771</v>
      </c>
      <c r="AN54" s="5" t="s">
        <v>799</v>
      </c>
      <c r="AO54" s="20" t="s">
        <v>781</v>
      </c>
      <c r="AP54" s="20">
        <v>425408</v>
      </c>
      <c r="AQ54" s="26" t="s">
        <v>845</v>
      </c>
      <c r="AR54" s="27">
        <v>917010061459865</v>
      </c>
      <c r="AS54" s="28" t="s">
        <v>911</v>
      </c>
      <c r="AT54" s="60" t="s">
        <v>301</v>
      </c>
    </row>
    <row r="55" spans="1:46" x14ac:dyDescent="0.25">
      <c r="A55" s="20">
        <v>50</v>
      </c>
      <c r="B55" s="21" t="s">
        <v>206</v>
      </c>
      <c r="C55" s="20" t="s">
        <v>50</v>
      </c>
      <c r="D55" s="22" t="s">
        <v>393</v>
      </c>
      <c r="E55" s="22" t="s">
        <v>452</v>
      </c>
      <c r="F55" s="22" t="s">
        <v>521</v>
      </c>
      <c r="G55" s="20" t="s">
        <v>64</v>
      </c>
      <c r="H55" s="20"/>
      <c r="I55" s="20" t="str">
        <f>VLOOKUP(B55,'[1]BILLING &amp; PAY SHEET'!$C$9:$H$109,6,0)</f>
        <v>20.01.1993</v>
      </c>
      <c r="J55" s="20" t="str">
        <f>VLOOKUP(B55,'[1]BILLING &amp; PAY SHEET'!$C$9:$I$109,7,0)</f>
        <v>28.06.2024</v>
      </c>
      <c r="K55" s="20" t="s">
        <v>67</v>
      </c>
      <c r="L55" s="20" t="s">
        <v>69</v>
      </c>
      <c r="M55" s="20" t="s">
        <v>539</v>
      </c>
      <c r="N55" s="4" t="s">
        <v>144</v>
      </c>
      <c r="O55" s="20" t="s">
        <v>542</v>
      </c>
      <c r="P55" s="20" t="s">
        <v>68</v>
      </c>
      <c r="Q55" s="23" t="s">
        <v>545</v>
      </c>
      <c r="R55" s="20" t="s">
        <v>46</v>
      </c>
      <c r="S55" s="20" t="s">
        <v>155</v>
      </c>
      <c r="T55" s="20" t="s">
        <v>43</v>
      </c>
      <c r="U55" s="20"/>
      <c r="V55" s="20" t="s">
        <v>594</v>
      </c>
      <c r="W55" s="24" t="s">
        <v>675</v>
      </c>
      <c r="X55" s="20"/>
      <c r="Y55" s="23" t="e">
        <f>VLOOKUP(#REF!,[2]Sheet4!$C$2:$F$141,4,0)</f>
        <v>#REF!</v>
      </c>
      <c r="Z55" s="23">
        <v>871080917635</v>
      </c>
      <c r="AA55" s="20">
        <v>7770030968</v>
      </c>
      <c r="AB55" s="20" t="s">
        <v>1319</v>
      </c>
      <c r="AC55" s="20"/>
      <c r="AD55" s="20" t="s">
        <v>452</v>
      </c>
      <c r="AE55" s="20">
        <v>7770030968</v>
      </c>
      <c r="AF55" s="20"/>
      <c r="AG55" s="25" t="s">
        <v>719</v>
      </c>
      <c r="AH55" s="20" t="s">
        <v>928</v>
      </c>
      <c r="AI55" s="5" t="s">
        <v>799</v>
      </c>
      <c r="AJ55" s="20" t="s">
        <v>781</v>
      </c>
      <c r="AK55" s="20">
        <v>424305</v>
      </c>
      <c r="AL55" s="25" t="s">
        <v>719</v>
      </c>
      <c r="AM55" s="20" t="s">
        <v>928</v>
      </c>
      <c r="AN55" s="5" t="s">
        <v>799</v>
      </c>
      <c r="AO55" s="20" t="s">
        <v>781</v>
      </c>
      <c r="AP55" s="20">
        <v>424305</v>
      </c>
      <c r="AQ55" s="26" t="s">
        <v>840</v>
      </c>
      <c r="AR55" s="27">
        <v>35141523894</v>
      </c>
      <c r="AS55" s="28" t="s">
        <v>898</v>
      </c>
      <c r="AT55" s="60" t="s">
        <v>302</v>
      </c>
    </row>
    <row r="56" spans="1:46" x14ac:dyDescent="0.25">
      <c r="A56" s="20">
        <v>51</v>
      </c>
      <c r="B56" s="21" t="s">
        <v>207</v>
      </c>
      <c r="C56" s="20" t="s">
        <v>50</v>
      </c>
      <c r="D56" s="22" t="s">
        <v>394</v>
      </c>
      <c r="E56" s="22" t="s">
        <v>390</v>
      </c>
      <c r="F56" s="22" t="s">
        <v>522</v>
      </c>
      <c r="G56" s="20" t="s">
        <v>64</v>
      </c>
      <c r="H56" s="20"/>
      <c r="I56" s="20" t="str">
        <f>VLOOKUP(B56,'[1]BILLING &amp; PAY SHEET'!$C$9:$H$109,6,0)</f>
        <v>12.08.2003</v>
      </c>
      <c r="J56" s="20" t="str">
        <f>VLOOKUP(B56,'[1]BILLING &amp; PAY SHEET'!$C$9:$I$109,7,0)</f>
        <v>28.06.2024</v>
      </c>
      <c r="K56" s="20" t="s">
        <v>67</v>
      </c>
      <c r="L56" s="20" t="s">
        <v>69</v>
      </c>
      <c r="M56" s="20" t="s">
        <v>539</v>
      </c>
      <c r="N56" s="4" t="s">
        <v>144</v>
      </c>
      <c r="O56" s="20" t="s">
        <v>542</v>
      </c>
      <c r="P56" s="20" t="s">
        <v>68</v>
      </c>
      <c r="Q56" s="23" t="s">
        <v>545</v>
      </c>
      <c r="R56" s="20" t="s">
        <v>46</v>
      </c>
      <c r="S56" s="20" t="s">
        <v>155</v>
      </c>
      <c r="T56" s="20" t="s">
        <v>43</v>
      </c>
      <c r="U56" s="20"/>
      <c r="V56" s="20" t="s">
        <v>595</v>
      </c>
      <c r="W56" s="24">
        <v>2504799207</v>
      </c>
      <c r="X56" s="20"/>
      <c r="Y56" s="23" t="e">
        <f>VLOOKUP(#REF!,[2]Sheet4!$C$2:$F$141,4,0)</f>
        <v>#REF!</v>
      </c>
      <c r="Z56" s="23">
        <v>224000615489</v>
      </c>
      <c r="AA56" s="20">
        <v>8265008651</v>
      </c>
      <c r="AB56" s="20" t="s">
        <v>1319</v>
      </c>
      <c r="AC56" s="20"/>
      <c r="AD56" s="20" t="s">
        <v>390</v>
      </c>
      <c r="AE56" s="20">
        <v>8265008651</v>
      </c>
      <c r="AF56" s="20"/>
      <c r="AG56" s="25" t="s">
        <v>715</v>
      </c>
      <c r="AH56" s="20" t="s">
        <v>723</v>
      </c>
      <c r="AI56" s="5" t="s">
        <v>799</v>
      </c>
      <c r="AJ56" s="20" t="s">
        <v>781</v>
      </c>
      <c r="AK56" s="20">
        <v>425408</v>
      </c>
      <c r="AL56" s="25" t="s">
        <v>715</v>
      </c>
      <c r="AM56" s="20" t="s">
        <v>723</v>
      </c>
      <c r="AN56" s="5" t="s">
        <v>799</v>
      </c>
      <c r="AO56" s="20" t="s">
        <v>781</v>
      </c>
      <c r="AP56" s="20">
        <v>425408</v>
      </c>
      <c r="AQ56" s="26" t="s">
        <v>839</v>
      </c>
      <c r="AR56" s="27">
        <v>80053821780</v>
      </c>
      <c r="AS56" s="28" t="s">
        <v>894</v>
      </c>
      <c r="AT56" s="60" t="s">
        <v>303</v>
      </c>
    </row>
    <row r="57" spans="1:46" x14ac:dyDescent="0.25">
      <c r="A57" s="20">
        <v>52</v>
      </c>
      <c r="B57" s="21" t="s">
        <v>208</v>
      </c>
      <c r="C57" s="29" t="s">
        <v>54</v>
      </c>
      <c r="D57" s="22" t="s">
        <v>395</v>
      </c>
      <c r="E57" s="22" t="s">
        <v>459</v>
      </c>
      <c r="F57" s="22" t="s">
        <v>523</v>
      </c>
      <c r="G57" s="29" t="s">
        <v>65</v>
      </c>
      <c r="H57" s="20"/>
      <c r="I57" s="20" t="str">
        <f>VLOOKUP(B57,'[1]BILLING &amp; PAY SHEET'!$C$9:$H$109,6,0)</f>
        <v>05.07.1994</v>
      </c>
      <c r="J57" s="20" t="str">
        <f>VLOOKUP(B57,'[1]BILLING &amp; PAY SHEET'!$C$9:$I$109,7,0)</f>
        <v>28.06.2024</v>
      </c>
      <c r="K57" s="20" t="s">
        <v>67</v>
      </c>
      <c r="L57" s="20" t="s">
        <v>69</v>
      </c>
      <c r="M57" s="20" t="s">
        <v>539</v>
      </c>
      <c r="N57" s="4" t="s">
        <v>144</v>
      </c>
      <c r="O57" s="20" t="s">
        <v>542</v>
      </c>
      <c r="P57" s="20" t="s">
        <v>68</v>
      </c>
      <c r="Q57" s="23" t="s">
        <v>545</v>
      </c>
      <c r="R57" s="20" t="s">
        <v>46</v>
      </c>
      <c r="S57" s="20" t="s">
        <v>155</v>
      </c>
      <c r="T57" s="20" t="s">
        <v>43</v>
      </c>
      <c r="U57" s="20"/>
      <c r="V57" s="20" t="s">
        <v>596</v>
      </c>
      <c r="W57" s="24" t="s">
        <v>676</v>
      </c>
      <c r="X57" s="20"/>
      <c r="Y57" s="23" t="e">
        <f>VLOOKUP(#REF!,[3]Sheet1!$C$2:$E$8,3,0)</f>
        <v>#REF!</v>
      </c>
      <c r="Z57" s="23">
        <v>324390927956</v>
      </c>
      <c r="AA57" s="20">
        <v>9049914878</v>
      </c>
      <c r="AB57" s="20" t="s">
        <v>1185</v>
      </c>
      <c r="AC57" s="20"/>
      <c r="AD57" s="20" t="s">
        <v>459</v>
      </c>
      <c r="AE57" s="20">
        <v>9049914878</v>
      </c>
      <c r="AF57" s="20"/>
      <c r="AG57" s="25" t="s">
        <v>720</v>
      </c>
      <c r="AH57" s="20" t="s">
        <v>772</v>
      </c>
      <c r="AI57" s="5" t="s">
        <v>799</v>
      </c>
      <c r="AJ57" s="20" t="s">
        <v>787</v>
      </c>
      <c r="AK57" s="20">
        <v>424305</v>
      </c>
      <c r="AL57" s="25" t="s">
        <v>720</v>
      </c>
      <c r="AM57" s="20" t="s">
        <v>772</v>
      </c>
      <c r="AN57" s="5" t="s">
        <v>799</v>
      </c>
      <c r="AO57" s="20" t="s">
        <v>787</v>
      </c>
      <c r="AP57" s="20">
        <v>424305</v>
      </c>
      <c r="AQ57" s="26" t="s">
        <v>840</v>
      </c>
      <c r="AR57" s="27">
        <v>34852492681</v>
      </c>
      <c r="AS57" s="28" t="s">
        <v>895</v>
      </c>
      <c r="AT57" s="60" t="s">
        <v>304</v>
      </c>
    </row>
    <row r="58" spans="1:46" x14ac:dyDescent="0.25">
      <c r="A58" s="20">
        <v>53</v>
      </c>
      <c r="B58" s="21" t="s">
        <v>209</v>
      </c>
      <c r="C58" s="20" t="s">
        <v>50</v>
      </c>
      <c r="D58" s="22" t="s">
        <v>387</v>
      </c>
      <c r="E58" s="22" t="s">
        <v>460</v>
      </c>
      <c r="F58" s="22" t="s">
        <v>502</v>
      </c>
      <c r="G58" s="20" t="s">
        <v>64</v>
      </c>
      <c r="H58" s="20"/>
      <c r="I58" s="20" t="str">
        <f>VLOOKUP(B58,'[1]BILLING &amp; PAY SHEET'!$C$9:$H$109,6,0)</f>
        <v>12.09.2001</v>
      </c>
      <c r="J58" s="20" t="str">
        <f>VLOOKUP(B58,'[1]BILLING &amp; PAY SHEET'!$C$9:$I$109,7,0)</f>
        <v>28.06.2024</v>
      </c>
      <c r="K58" s="20" t="s">
        <v>67</v>
      </c>
      <c r="L58" s="20" t="s">
        <v>69</v>
      </c>
      <c r="M58" s="20" t="s">
        <v>539</v>
      </c>
      <c r="N58" s="4" t="s">
        <v>144</v>
      </c>
      <c r="O58" s="20" t="s">
        <v>542</v>
      </c>
      <c r="P58" s="20" t="s">
        <v>68</v>
      </c>
      <c r="Q58" s="23" t="s">
        <v>545</v>
      </c>
      <c r="R58" s="20" t="s">
        <v>46</v>
      </c>
      <c r="S58" s="20" t="s">
        <v>155</v>
      </c>
      <c r="T58" s="20" t="s">
        <v>43</v>
      </c>
      <c r="U58" s="20"/>
      <c r="V58" s="20" t="s">
        <v>597</v>
      </c>
      <c r="W58" s="24">
        <v>2504799215</v>
      </c>
      <c r="X58" s="20"/>
      <c r="Y58" s="23" t="e">
        <f>VLOOKUP(#REF!,[2]Sheet4!$C$2:$F$141,4,0)</f>
        <v>#REF!</v>
      </c>
      <c r="Z58" s="23">
        <v>856328283903</v>
      </c>
      <c r="AA58" s="20">
        <v>8329216865</v>
      </c>
      <c r="AB58" s="20" t="s">
        <v>1319</v>
      </c>
      <c r="AC58" s="20"/>
      <c r="AD58" s="20" t="s">
        <v>460</v>
      </c>
      <c r="AE58" s="20">
        <v>8329216865</v>
      </c>
      <c r="AF58" s="20"/>
      <c r="AG58" s="25" t="s">
        <v>929</v>
      </c>
      <c r="AH58" s="20" t="s">
        <v>930</v>
      </c>
      <c r="AI58" s="5" t="s">
        <v>799</v>
      </c>
      <c r="AJ58" s="20" t="s">
        <v>781</v>
      </c>
      <c r="AK58" s="20">
        <v>424305</v>
      </c>
      <c r="AL58" s="25" t="s">
        <v>929</v>
      </c>
      <c r="AM58" s="20" t="s">
        <v>930</v>
      </c>
      <c r="AN58" s="5" t="s">
        <v>799</v>
      </c>
      <c r="AO58" s="20" t="s">
        <v>781</v>
      </c>
      <c r="AP58" s="20">
        <v>424305</v>
      </c>
      <c r="AQ58" s="26" t="s">
        <v>846</v>
      </c>
      <c r="AR58" s="27">
        <v>7683082486</v>
      </c>
      <c r="AS58" s="28" t="s">
        <v>912</v>
      </c>
      <c r="AT58" s="60" t="s">
        <v>305</v>
      </c>
    </row>
    <row r="59" spans="1:46" x14ac:dyDescent="0.25">
      <c r="A59" s="20">
        <v>54</v>
      </c>
      <c r="B59" s="21" t="s">
        <v>210</v>
      </c>
      <c r="C59" s="20" t="s">
        <v>50</v>
      </c>
      <c r="D59" s="22" t="s">
        <v>396</v>
      </c>
      <c r="E59" s="22" t="s">
        <v>461</v>
      </c>
      <c r="F59" s="22" t="s">
        <v>493</v>
      </c>
      <c r="G59" s="20" t="s">
        <v>64</v>
      </c>
      <c r="H59" s="20"/>
      <c r="I59" s="20" t="s">
        <v>1038</v>
      </c>
      <c r="J59" s="20" t="str">
        <f>VLOOKUP(B59,'[1]BILLING &amp; PAY SHEET'!$C$9:$I$109,7,0)</f>
        <v>28.06.2024</v>
      </c>
      <c r="K59" s="20" t="s">
        <v>67</v>
      </c>
      <c r="L59" s="20" t="s">
        <v>69</v>
      </c>
      <c r="M59" s="20" t="s">
        <v>539</v>
      </c>
      <c r="N59" s="4" t="s">
        <v>144</v>
      </c>
      <c r="O59" s="20" t="s">
        <v>542</v>
      </c>
      <c r="P59" s="20" t="s">
        <v>68</v>
      </c>
      <c r="Q59" s="23" t="s">
        <v>545</v>
      </c>
      <c r="R59" s="20" t="s">
        <v>46</v>
      </c>
      <c r="S59" s="20" t="s">
        <v>155</v>
      </c>
      <c r="T59" s="20" t="s">
        <v>43</v>
      </c>
      <c r="U59" s="20"/>
      <c r="V59" s="20" t="s">
        <v>598</v>
      </c>
      <c r="W59" s="24">
        <v>2504943477</v>
      </c>
      <c r="X59" s="20"/>
      <c r="Y59" s="23" t="e">
        <f>VLOOKUP(#REF!,[2]Sheet4!$C$2:$F$141,4,0)</f>
        <v>#REF!</v>
      </c>
      <c r="Z59" s="23">
        <v>538169311168</v>
      </c>
      <c r="AA59" s="20">
        <v>7709510571</v>
      </c>
      <c r="AB59" s="20" t="s">
        <v>1185</v>
      </c>
      <c r="AC59" s="20"/>
      <c r="AD59" s="20" t="s">
        <v>461</v>
      </c>
      <c r="AE59" s="20">
        <v>7709510571</v>
      </c>
      <c r="AF59" s="20"/>
      <c r="AG59" s="25" t="s">
        <v>721</v>
      </c>
      <c r="AH59" s="20" t="s">
        <v>773</v>
      </c>
      <c r="AI59" s="5" t="s">
        <v>799</v>
      </c>
      <c r="AJ59" s="20" t="s">
        <v>787</v>
      </c>
      <c r="AK59" s="20">
        <v>424305</v>
      </c>
      <c r="AL59" s="25" t="s">
        <v>721</v>
      </c>
      <c r="AM59" s="20" t="s">
        <v>773</v>
      </c>
      <c r="AN59" s="5" t="s">
        <v>799</v>
      </c>
      <c r="AO59" s="20" t="s">
        <v>787</v>
      </c>
      <c r="AP59" s="20">
        <v>424305</v>
      </c>
      <c r="AQ59" s="26" t="s">
        <v>841</v>
      </c>
      <c r="AR59" s="27">
        <v>3665291424</v>
      </c>
      <c r="AS59" s="28" t="s">
        <v>897</v>
      </c>
      <c r="AT59" s="60" t="s">
        <v>306</v>
      </c>
    </row>
    <row r="60" spans="1:46" x14ac:dyDescent="0.25">
      <c r="A60" s="20">
        <v>55</v>
      </c>
      <c r="B60" s="21" t="s">
        <v>211</v>
      </c>
      <c r="C60" s="20" t="s">
        <v>50</v>
      </c>
      <c r="D60" s="22" t="s">
        <v>397</v>
      </c>
      <c r="E60" s="22" t="s">
        <v>462</v>
      </c>
      <c r="F60" s="22" t="s">
        <v>492</v>
      </c>
      <c r="G60" s="20" t="s">
        <v>64</v>
      </c>
      <c r="H60" s="20"/>
      <c r="I60" s="20" t="str">
        <f>VLOOKUP(B60,'[1]BILLING &amp; PAY SHEET'!$C$9:$H$109,6,0)</f>
        <v>21.11.1998</v>
      </c>
      <c r="J60" s="20" t="str">
        <f>VLOOKUP(B60,'[1]BILLING &amp; PAY SHEET'!$C$9:$I$109,7,0)</f>
        <v>28.06.2024</v>
      </c>
      <c r="K60" s="20" t="s">
        <v>67</v>
      </c>
      <c r="L60" s="20" t="s">
        <v>69</v>
      </c>
      <c r="M60" s="20" t="s">
        <v>539</v>
      </c>
      <c r="N60" s="4" t="s">
        <v>144</v>
      </c>
      <c r="O60" s="20" t="s">
        <v>542</v>
      </c>
      <c r="P60" s="20" t="s">
        <v>68</v>
      </c>
      <c r="Q60" s="23" t="s">
        <v>545</v>
      </c>
      <c r="R60" s="20" t="s">
        <v>46</v>
      </c>
      <c r="S60" s="20" t="s">
        <v>155</v>
      </c>
      <c r="T60" s="20" t="s">
        <v>43</v>
      </c>
      <c r="U60" s="20"/>
      <c r="V60" s="20" t="s">
        <v>599</v>
      </c>
      <c r="W60" s="24" t="s">
        <v>677</v>
      </c>
      <c r="X60" s="20"/>
      <c r="Y60" s="23" t="e">
        <f>VLOOKUP(#REF!,[2]Sheet4!$C$2:$F$141,4,0)</f>
        <v>#REF!</v>
      </c>
      <c r="Z60" s="23">
        <v>493010808132</v>
      </c>
      <c r="AA60" s="20">
        <v>7741907949</v>
      </c>
      <c r="AB60" s="20" t="s">
        <v>1319</v>
      </c>
      <c r="AC60" s="20"/>
      <c r="AD60" s="20" t="s">
        <v>462</v>
      </c>
      <c r="AE60" s="20">
        <v>7741907949</v>
      </c>
      <c r="AF60" s="20"/>
      <c r="AG60" s="25" t="s">
        <v>722</v>
      </c>
      <c r="AH60" s="20" t="s">
        <v>774</v>
      </c>
      <c r="AI60" s="5" t="s">
        <v>799</v>
      </c>
      <c r="AJ60" s="20" t="s">
        <v>781</v>
      </c>
      <c r="AK60" s="20">
        <v>424305</v>
      </c>
      <c r="AL60" s="25" t="s">
        <v>722</v>
      </c>
      <c r="AM60" s="20" t="s">
        <v>774</v>
      </c>
      <c r="AN60" s="5" t="s">
        <v>799</v>
      </c>
      <c r="AO60" s="20" t="s">
        <v>781</v>
      </c>
      <c r="AP60" s="20">
        <v>424305</v>
      </c>
      <c r="AQ60" s="26" t="s">
        <v>840</v>
      </c>
      <c r="AR60" s="27">
        <v>33401507465</v>
      </c>
      <c r="AS60" s="28" t="s">
        <v>895</v>
      </c>
      <c r="AT60" s="60" t="s">
        <v>307</v>
      </c>
    </row>
    <row r="61" spans="1:46" x14ac:dyDescent="0.25">
      <c r="A61" s="20">
        <v>56</v>
      </c>
      <c r="B61" s="21" t="s">
        <v>212</v>
      </c>
      <c r="C61" s="20" t="s">
        <v>50</v>
      </c>
      <c r="D61" s="22" t="s">
        <v>398</v>
      </c>
      <c r="E61" s="22" t="s">
        <v>463</v>
      </c>
      <c r="F61" s="22" t="s">
        <v>493</v>
      </c>
      <c r="G61" s="20" t="s">
        <v>64</v>
      </c>
      <c r="H61" s="20"/>
      <c r="I61" s="20" t="str">
        <f>VLOOKUP(B61,'[1]BILLING &amp; PAY SHEET'!$C$9:$H$109,6,0)</f>
        <v>01.04.2003</v>
      </c>
      <c r="J61" s="20" t="str">
        <f>VLOOKUP(B61,'[1]BILLING &amp; PAY SHEET'!$C$9:$I$109,7,0)</f>
        <v>14.11.2024</v>
      </c>
      <c r="K61" s="20" t="s">
        <v>67</v>
      </c>
      <c r="L61" s="20" t="s">
        <v>69</v>
      </c>
      <c r="M61" s="20" t="s">
        <v>539</v>
      </c>
      <c r="N61" s="4" t="s">
        <v>144</v>
      </c>
      <c r="O61" s="20" t="s">
        <v>542</v>
      </c>
      <c r="P61" s="20" t="s">
        <v>68</v>
      </c>
      <c r="Q61" s="23" t="s">
        <v>545</v>
      </c>
      <c r="R61" s="20" t="s">
        <v>46</v>
      </c>
      <c r="S61" s="20" t="s">
        <v>155</v>
      </c>
      <c r="T61" s="20" t="s">
        <v>43</v>
      </c>
      <c r="U61" s="20"/>
      <c r="V61" s="20" t="s">
        <v>600</v>
      </c>
      <c r="W61" s="24" t="s">
        <v>678</v>
      </c>
      <c r="X61" s="20"/>
      <c r="Y61" s="23" t="e">
        <f>VLOOKUP(#REF!,[2]Sheet4!$C$2:$F$141,4,0)</f>
        <v>#REF!</v>
      </c>
      <c r="Z61" s="23">
        <v>652690575068</v>
      </c>
      <c r="AA61" s="20">
        <v>9325730104</v>
      </c>
      <c r="AB61" s="20" t="s">
        <v>1319</v>
      </c>
      <c r="AC61" s="20"/>
      <c r="AD61" s="20" t="s">
        <v>463</v>
      </c>
      <c r="AE61" s="20">
        <v>9325730104</v>
      </c>
      <c r="AF61" s="20"/>
      <c r="AG61" s="25" t="s">
        <v>723</v>
      </c>
      <c r="AH61" s="20" t="s">
        <v>723</v>
      </c>
      <c r="AI61" s="5" t="s">
        <v>799</v>
      </c>
      <c r="AJ61" s="20" t="s">
        <v>723</v>
      </c>
      <c r="AK61" s="20">
        <v>425408</v>
      </c>
      <c r="AL61" s="25" t="s">
        <v>723</v>
      </c>
      <c r="AM61" s="20" t="s">
        <v>723</v>
      </c>
      <c r="AN61" s="5" t="s">
        <v>799</v>
      </c>
      <c r="AO61" s="20" t="s">
        <v>723</v>
      </c>
      <c r="AP61" s="20">
        <v>425408</v>
      </c>
      <c r="AQ61" s="26" t="s">
        <v>839</v>
      </c>
      <c r="AR61" s="27">
        <v>80017129769</v>
      </c>
      <c r="AS61" s="28" t="s">
        <v>894</v>
      </c>
      <c r="AT61" s="60" t="s">
        <v>308</v>
      </c>
    </row>
    <row r="62" spans="1:46" x14ac:dyDescent="0.25">
      <c r="A62" s="20">
        <v>57</v>
      </c>
      <c r="B62" s="21" t="s">
        <v>1128</v>
      </c>
      <c r="C62" s="20" t="s">
        <v>50</v>
      </c>
      <c r="D62" s="22" t="s">
        <v>1165</v>
      </c>
      <c r="E62" s="22" t="s">
        <v>1166</v>
      </c>
      <c r="F62" s="22" t="s">
        <v>1151</v>
      </c>
      <c r="G62" s="20" t="s">
        <v>64</v>
      </c>
      <c r="H62" s="20"/>
      <c r="I62" s="31">
        <v>36201</v>
      </c>
      <c r="J62" s="31">
        <v>45758</v>
      </c>
      <c r="K62" s="20" t="s">
        <v>67</v>
      </c>
      <c r="L62" s="20" t="s">
        <v>69</v>
      </c>
      <c r="M62" s="20" t="s">
        <v>539</v>
      </c>
      <c r="N62" s="4" t="s">
        <v>144</v>
      </c>
      <c r="O62" s="20" t="s">
        <v>542</v>
      </c>
      <c r="P62" s="20" t="s">
        <v>68</v>
      </c>
      <c r="Q62" s="23" t="s">
        <v>545</v>
      </c>
      <c r="R62" s="20" t="s">
        <v>46</v>
      </c>
      <c r="S62" s="20" t="s">
        <v>155</v>
      </c>
      <c r="T62" s="20" t="s">
        <v>43</v>
      </c>
      <c r="U62" s="20"/>
      <c r="V62" s="20">
        <v>102145199910</v>
      </c>
      <c r="W62" s="24">
        <v>2504888362</v>
      </c>
      <c r="X62" s="20" t="s">
        <v>1339</v>
      </c>
      <c r="Y62" s="23"/>
      <c r="Z62" s="23">
        <v>328557412737</v>
      </c>
      <c r="AA62" s="20">
        <v>8080728859</v>
      </c>
      <c r="AB62" s="20" t="s">
        <v>1319</v>
      </c>
      <c r="AC62" s="20"/>
      <c r="AD62" s="20" t="s">
        <v>1166</v>
      </c>
      <c r="AE62" s="20">
        <v>8080728859</v>
      </c>
      <c r="AF62" s="20"/>
      <c r="AG62" s="25" t="s">
        <v>724</v>
      </c>
      <c r="AH62" s="20" t="s">
        <v>756</v>
      </c>
      <c r="AI62" s="5" t="s">
        <v>799</v>
      </c>
      <c r="AJ62" s="20" t="s">
        <v>756</v>
      </c>
      <c r="AK62" s="20">
        <v>424305</v>
      </c>
      <c r="AL62" s="25" t="s">
        <v>724</v>
      </c>
      <c r="AM62" s="20" t="s">
        <v>756</v>
      </c>
      <c r="AN62" s="5" t="s">
        <v>799</v>
      </c>
      <c r="AO62" s="20" t="s">
        <v>756</v>
      </c>
      <c r="AP62" s="20">
        <v>424305</v>
      </c>
      <c r="AQ62" s="26" t="s">
        <v>841</v>
      </c>
      <c r="AR62" s="27" t="s">
        <v>1307</v>
      </c>
      <c r="AS62" s="28" t="s">
        <v>897</v>
      </c>
      <c r="AT62" s="22" t="s">
        <v>1308</v>
      </c>
    </row>
    <row r="63" spans="1:46" x14ac:dyDescent="0.25">
      <c r="A63" s="20">
        <v>58</v>
      </c>
      <c r="B63" s="21" t="s">
        <v>213</v>
      </c>
      <c r="C63" s="20" t="s">
        <v>50</v>
      </c>
      <c r="D63" s="22" t="s">
        <v>365</v>
      </c>
      <c r="E63" s="22" t="s">
        <v>464</v>
      </c>
      <c r="F63" s="22" t="s">
        <v>524</v>
      </c>
      <c r="G63" s="20" t="s">
        <v>64</v>
      </c>
      <c r="H63" s="20"/>
      <c r="I63" s="20" t="str">
        <f>VLOOKUP(B63,'[1]BILLING &amp; PAY SHEET'!$C$9:$H$109,6,0)</f>
        <v>07.11.2004</v>
      </c>
      <c r="J63" s="20" t="str">
        <f>VLOOKUP(B63,'[1]BILLING &amp; PAY SHEET'!$C$9:$I$109,7,0)</f>
        <v>14.11.2024</v>
      </c>
      <c r="K63" s="20" t="s">
        <v>67</v>
      </c>
      <c r="L63" s="20" t="s">
        <v>69</v>
      </c>
      <c r="M63" s="20" t="s">
        <v>539</v>
      </c>
      <c r="N63" s="4" t="s">
        <v>144</v>
      </c>
      <c r="O63" s="20" t="s">
        <v>542</v>
      </c>
      <c r="P63" s="20" t="s">
        <v>68</v>
      </c>
      <c r="Q63" s="23" t="s">
        <v>545</v>
      </c>
      <c r="R63" s="20" t="s">
        <v>46</v>
      </c>
      <c r="S63" s="20" t="s">
        <v>155</v>
      </c>
      <c r="T63" s="20" t="s">
        <v>43</v>
      </c>
      <c r="U63" s="20"/>
      <c r="V63" s="20" t="s">
        <v>601</v>
      </c>
      <c r="W63" s="24" t="s">
        <v>679</v>
      </c>
      <c r="X63" s="20"/>
      <c r="Y63" s="23" t="e">
        <f>VLOOKUP(#REF!,[2]Sheet4!$C$2:$F$141,4,0)</f>
        <v>#REF!</v>
      </c>
      <c r="Z63" s="23">
        <v>521438299972</v>
      </c>
      <c r="AA63" s="20">
        <v>9322405059</v>
      </c>
      <c r="AB63" s="20" t="s">
        <v>1319</v>
      </c>
      <c r="AC63" s="20"/>
      <c r="AD63" s="20" t="s">
        <v>464</v>
      </c>
      <c r="AE63" s="20">
        <v>9322405059</v>
      </c>
      <c r="AF63" s="20"/>
      <c r="AG63" s="25" t="s">
        <v>724</v>
      </c>
      <c r="AH63" s="20" t="s">
        <v>756</v>
      </c>
      <c r="AI63" s="5" t="s">
        <v>799</v>
      </c>
      <c r="AJ63" s="20" t="s">
        <v>756</v>
      </c>
      <c r="AK63" s="20">
        <v>424305</v>
      </c>
      <c r="AL63" s="25" t="s">
        <v>724</v>
      </c>
      <c r="AM63" s="20" t="s">
        <v>756</v>
      </c>
      <c r="AN63" s="5" t="s">
        <v>799</v>
      </c>
      <c r="AO63" s="20" t="s">
        <v>756</v>
      </c>
      <c r="AP63" s="20">
        <v>424305</v>
      </c>
      <c r="AQ63" s="26" t="s">
        <v>841</v>
      </c>
      <c r="AR63" s="27">
        <v>5280356573</v>
      </c>
      <c r="AS63" s="28" t="s">
        <v>897</v>
      </c>
      <c r="AT63" s="60" t="s">
        <v>309</v>
      </c>
    </row>
    <row r="64" spans="1:46" x14ac:dyDescent="0.25">
      <c r="A64" s="20">
        <v>59</v>
      </c>
      <c r="B64" s="21" t="s">
        <v>214</v>
      </c>
      <c r="C64" s="20" t="s">
        <v>50</v>
      </c>
      <c r="D64" s="22" t="s">
        <v>377</v>
      </c>
      <c r="E64" s="22" t="s">
        <v>465</v>
      </c>
      <c r="F64" s="22" t="s">
        <v>507</v>
      </c>
      <c r="G64" s="20" t="s">
        <v>64</v>
      </c>
      <c r="H64" s="20"/>
      <c r="I64" s="20" t="str">
        <f>VLOOKUP(B64,'[1]BILLING &amp; PAY SHEET'!$C$9:$H$109,6,0)</f>
        <v>14.04.1997</v>
      </c>
      <c r="J64" s="20" t="str">
        <f>VLOOKUP(B64,'[1]BILLING &amp; PAY SHEET'!$C$9:$I$109,7,0)</f>
        <v>14.11.2024</v>
      </c>
      <c r="K64" s="20" t="s">
        <v>67</v>
      </c>
      <c r="L64" s="20" t="s">
        <v>69</v>
      </c>
      <c r="M64" s="20" t="s">
        <v>539</v>
      </c>
      <c r="N64" s="4" t="s">
        <v>144</v>
      </c>
      <c r="O64" s="20" t="s">
        <v>542</v>
      </c>
      <c r="P64" s="20" t="s">
        <v>68</v>
      </c>
      <c r="Q64" s="23" t="s">
        <v>545</v>
      </c>
      <c r="R64" s="20" t="s">
        <v>46</v>
      </c>
      <c r="S64" s="20" t="s">
        <v>155</v>
      </c>
      <c r="T64" s="20" t="s">
        <v>43</v>
      </c>
      <c r="U64" s="20"/>
      <c r="V64" s="20" t="s">
        <v>602</v>
      </c>
      <c r="W64" s="24">
        <v>2504887996</v>
      </c>
      <c r="X64" s="20"/>
      <c r="Y64" s="23" t="e">
        <f>VLOOKUP(#REF!,[2]Sheet4!$C$2:$F$141,4,0)</f>
        <v>#REF!</v>
      </c>
      <c r="Z64" s="23">
        <v>754122362144</v>
      </c>
      <c r="AA64" s="20">
        <v>8830013569</v>
      </c>
      <c r="AB64" s="20" t="s">
        <v>1185</v>
      </c>
      <c r="AC64" s="20"/>
      <c r="AD64" s="20" t="s">
        <v>465</v>
      </c>
      <c r="AE64" s="20">
        <v>8830013569</v>
      </c>
      <c r="AF64" s="20"/>
      <c r="AG64" s="25" t="s">
        <v>725</v>
      </c>
      <c r="AH64" s="20" t="s">
        <v>775</v>
      </c>
      <c r="AI64" s="5" t="s">
        <v>799</v>
      </c>
      <c r="AJ64" s="20" t="s">
        <v>775</v>
      </c>
      <c r="AK64" s="33">
        <v>424305</v>
      </c>
      <c r="AL64" s="25" t="s">
        <v>725</v>
      </c>
      <c r="AM64" s="20" t="s">
        <v>775</v>
      </c>
      <c r="AN64" s="5" t="s">
        <v>799</v>
      </c>
      <c r="AO64" s="20" t="s">
        <v>775</v>
      </c>
      <c r="AP64" s="33">
        <v>424305</v>
      </c>
      <c r="AQ64" s="26" t="s">
        <v>847</v>
      </c>
      <c r="AR64" s="27">
        <v>5658101001972</v>
      </c>
      <c r="AS64" s="28" t="s">
        <v>913</v>
      </c>
      <c r="AT64" s="60" t="s">
        <v>310</v>
      </c>
    </row>
    <row r="65" spans="1:46" x14ac:dyDescent="0.25">
      <c r="A65" s="20">
        <v>60</v>
      </c>
      <c r="B65" s="21" t="s">
        <v>215</v>
      </c>
      <c r="C65" s="20" t="s">
        <v>50</v>
      </c>
      <c r="D65" s="22" t="s">
        <v>399</v>
      </c>
      <c r="E65" s="22" t="s">
        <v>397</v>
      </c>
      <c r="F65" s="22" t="s">
        <v>501</v>
      </c>
      <c r="G65" s="20" t="s">
        <v>64</v>
      </c>
      <c r="H65" s="20"/>
      <c r="I65" s="20" t="str">
        <f>VLOOKUP(B65,'[1]BILLING &amp; PAY SHEET'!$C$9:$H$109,6,0)</f>
        <v>04.11.2024</v>
      </c>
      <c r="J65" s="20" t="str">
        <f>VLOOKUP(B65,'[1]BILLING &amp; PAY SHEET'!$C$9:$I$109,7,0)</f>
        <v>14.11.2024</v>
      </c>
      <c r="K65" s="20" t="s">
        <v>67</v>
      </c>
      <c r="L65" s="20" t="s">
        <v>69</v>
      </c>
      <c r="M65" s="20" t="s">
        <v>539</v>
      </c>
      <c r="N65" s="4" t="s">
        <v>144</v>
      </c>
      <c r="O65" s="20" t="s">
        <v>542</v>
      </c>
      <c r="P65" s="20" t="s">
        <v>68</v>
      </c>
      <c r="Q65" s="23" t="s">
        <v>545</v>
      </c>
      <c r="R65" s="20" t="s">
        <v>46</v>
      </c>
      <c r="S65" s="20" t="s">
        <v>155</v>
      </c>
      <c r="T65" s="20" t="s">
        <v>43</v>
      </c>
      <c r="U65" s="20"/>
      <c r="V65" s="20" t="s">
        <v>603</v>
      </c>
      <c r="W65" s="24">
        <v>2504888002</v>
      </c>
      <c r="X65" s="20"/>
      <c r="Y65" s="23" t="e">
        <f>VLOOKUP(#REF!,[2]Sheet4!$C$2:$F$141,4,0)</f>
        <v>#REF!</v>
      </c>
      <c r="Z65" s="23">
        <v>673150275155</v>
      </c>
      <c r="AA65" s="20">
        <v>8767745394</v>
      </c>
      <c r="AB65" s="20" t="s">
        <v>1319</v>
      </c>
      <c r="AC65" s="20"/>
      <c r="AD65" s="20" t="s">
        <v>397</v>
      </c>
      <c r="AE65" s="20">
        <v>8767745394</v>
      </c>
      <c r="AF65" s="20"/>
      <c r="AG65" s="25" t="s">
        <v>724</v>
      </c>
      <c r="AH65" s="20" t="s">
        <v>756</v>
      </c>
      <c r="AI65" s="5" t="s">
        <v>799</v>
      </c>
      <c r="AJ65" s="20" t="s">
        <v>756</v>
      </c>
      <c r="AK65" s="20">
        <v>424305</v>
      </c>
      <c r="AL65" s="25" t="s">
        <v>724</v>
      </c>
      <c r="AM65" s="20" t="s">
        <v>756</v>
      </c>
      <c r="AN65" s="5" t="s">
        <v>799</v>
      </c>
      <c r="AO65" s="20" t="s">
        <v>756</v>
      </c>
      <c r="AP65" s="20">
        <v>424305</v>
      </c>
      <c r="AQ65" s="26" t="s">
        <v>840</v>
      </c>
      <c r="AR65" s="27">
        <v>42442199612</v>
      </c>
      <c r="AS65" s="28" t="s">
        <v>895</v>
      </c>
      <c r="AT65" s="60" t="s">
        <v>311</v>
      </c>
    </row>
    <row r="66" spans="1:46" x14ac:dyDescent="0.25">
      <c r="A66" s="20">
        <v>61</v>
      </c>
      <c r="B66" s="21" t="s">
        <v>216</v>
      </c>
      <c r="C66" s="20" t="s">
        <v>50</v>
      </c>
      <c r="D66" s="22" t="s">
        <v>356</v>
      </c>
      <c r="E66" s="22" t="s">
        <v>422</v>
      </c>
      <c r="F66" s="22" t="s">
        <v>524</v>
      </c>
      <c r="G66" s="20" t="s">
        <v>64</v>
      </c>
      <c r="H66" s="20"/>
      <c r="I66" s="20" t="str">
        <f>VLOOKUP(B66,'[1]BILLING &amp; PAY SHEET'!$C$9:$H$109,6,0)</f>
        <v>31.12.1997</v>
      </c>
      <c r="J66" s="20" t="str">
        <f>VLOOKUP(B66,'[1]BILLING &amp; PAY SHEET'!$C$9:$I$109,7,0)</f>
        <v>14.11.2024</v>
      </c>
      <c r="K66" s="20" t="s">
        <v>67</v>
      </c>
      <c r="L66" s="20" t="s">
        <v>69</v>
      </c>
      <c r="M66" s="20" t="s">
        <v>539</v>
      </c>
      <c r="N66" s="4" t="s">
        <v>144</v>
      </c>
      <c r="O66" s="20" t="s">
        <v>542</v>
      </c>
      <c r="P66" s="20" t="s">
        <v>68</v>
      </c>
      <c r="Q66" s="23" t="s">
        <v>545</v>
      </c>
      <c r="R66" s="20" t="s">
        <v>46</v>
      </c>
      <c r="S66" s="20" t="s">
        <v>155</v>
      </c>
      <c r="T66" s="20" t="s">
        <v>43</v>
      </c>
      <c r="U66" s="20"/>
      <c r="V66" s="20" t="s">
        <v>604</v>
      </c>
      <c r="W66" s="24">
        <v>2504891039</v>
      </c>
      <c r="X66" s="20"/>
      <c r="Y66" s="23" t="e">
        <f>VLOOKUP(#REF!,[2]Sheet4!$C$2:$F$141,4,0)</f>
        <v>#REF!</v>
      </c>
      <c r="Z66" s="23">
        <v>418162161320</v>
      </c>
      <c r="AA66" s="20">
        <v>9726754240</v>
      </c>
      <c r="AB66" s="20" t="s">
        <v>1319</v>
      </c>
      <c r="AC66" s="20"/>
      <c r="AD66" s="20" t="s">
        <v>422</v>
      </c>
      <c r="AE66" s="20">
        <v>9726754240</v>
      </c>
      <c r="AF66" s="20"/>
      <c r="AG66" s="25" t="s">
        <v>726</v>
      </c>
      <c r="AH66" s="20" t="s">
        <v>726</v>
      </c>
      <c r="AI66" s="5" t="s">
        <v>799</v>
      </c>
      <c r="AJ66" s="20" t="s">
        <v>726</v>
      </c>
      <c r="AK66" s="33">
        <v>424305</v>
      </c>
      <c r="AL66" s="25" t="s">
        <v>726</v>
      </c>
      <c r="AM66" s="20" t="s">
        <v>726</v>
      </c>
      <c r="AN66" s="5" t="s">
        <v>799</v>
      </c>
      <c r="AO66" s="20" t="s">
        <v>726</v>
      </c>
      <c r="AP66" s="33">
        <v>424305</v>
      </c>
      <c r="AQ66" s="26" t="s">
        <v>845</v>
      </c>
      <c r="AR66" s="27">
        <v>919010039820750</v>
      </c>
      <c r="AS66" s="28" t="s">
        <v>914</v>
      </c>
      <c r="AT66" s="60" t="s">
        <v>312</v>
      </c>
    </row>
    <row r="67" spans="1:46" x14ac:dyDescent="0.25">
      <c r="A67" s="20">
        <v>62</v>
      </c>
      <c r="B67" s="21" t="s">
        <v>217</v>
      </c>
      <c r="C67" s="20" t="s">
        <v>50</v>
      </c>
      <c r="D67" s="22" t="s">
        <v>387</v>
      </c>
      <c r="E67" s="22" t="s">
        <v>466</v>
      </c>
      <c r="F67" s="22" t="s">
        <v>525</v>
      </c>
      <c r="G67" s="20" t="s">
        <v>64</v>
      </c>
      <c r="H67" s="20"/>
      <c r="I67" s="20" t="str">
        <f>VLOOKUP(B67,'[1]BILLING &amp; PAY SHEET'!$C$9:$H$109,6,0)</f>
        <v>11.06.1988</v>
      </c>
      <c r="J67" s="20" t="str">
        <f>VLOOKUP(B67,'[1]BILLING &amp; PAY SHEET'!$C$9:$I$109,7,0)</f>
        <v>14.11.2024</v>
      </c>
      <c r="K67" s="20" t="s">
        <v>67</v>
      </c>
      <c r="L67" s="20" t="s">
        <v>69</v>
      </c>
      <c r="M67" s="20" t="s">
        <v>539</v>
      </c>
      <c r="N67" s="4" t="s">
        <v>144</v>
      </c>
      <c r="O67" s="20" t="s">
        <v>542</v>
      </c>
      <c r="P67" s="20" t="s">
        <v>68</v>
      </c>
      <c r="Q67" s="23" t="s">
        <v>545</v>
      </c>
      <c r="R67" s="20" t="s">
        <v>46</v>
      </c>
      <c r="S67" s="20" t="s">
        <v>155</v>
      </c>
      <c r="T67" s="20" t="s">
        <v>43</v>
      </c>
      <c r="U67" s="20"/>
      <c r="V67" s="20" t="s">
        <v>605</v>
      </c>
      <c r="W67" s="24">
        <v>2504888180</v>
      </c>
      <c r="X67" s="20"/>
      <c r="Y67" s="23" t="e">
        <f>VLOOKUP(#REF!,[2]Sheet4!$C$2:$F$141,4,0)</f>
        <v>#REF!</v>
      </c>
      <c r="Z67" s="23">
        <v>276538171757</v>
      </c>
      <c r="AA67" s="20">
        <v>7588318917</v>
      </c>
      <c r="AB67" s="20" t="s">
        <v>1319</v>
      </c>
      <c r="AC67" s="20"/>
      <c r="AD67" s="20" t="s">
        <v>466</v>
      </c>
      <c r="AE67" s="20">
        <v>7588318917</v>
      </c>
      <c r="AF67" s="20"/>
      <c r="AG67" s="25" t="s">
        <v>727</v>
      </c>
      <c r="AH67" s="20" t="s">
        <v>776</v>
      </c>
      <c r="AI67" s="5" t="s">
        <v>799</v>
      </c>
      <c r="AJ67" s="20" t="s">
        <v>784</v>
      </c>
      <c r="AK67" s="20">
        <v>424305</v>
      </c>
      <c r="AL67" s="25" t="s">
        <v>727</v>
      </c>
      <c r="AM67" s="20" t="s">
        <v>776</v>
      </c>
      <c r="AN67" s="5" t="s">
        <v>799</v>
      </c>
      <c r="AO67" s="20" t="s">
        <v>784</v>
      </c>
      <c r="AP67" s="20">
        <v>424305</v>
      </c>
      <c r="AQ67" s="26" t="s">
        <v>840</v>
      </c>
      <c r="AR67" s="27">
        <v>31051428049</v>
      </c>
      <c r="AS67" s="28" t="s">
        <v>905</v>
      </c>
      <c r="AT67" s="60" t="s">
        <v>313</v>
      </c>
    </row>
    <row r="68" spans="1:46" x14ac:dyDescent="0.25">
      <c r="A68" s="20">
        <v>63</v>
      </c>
      <c r="B68" s="21" t="s">
        <v>218</v>
      </c>
      <c r="C68" s="20" t="s">
        <v>50</v>
      </c>
      <c r="D68" s="22" t="s">
        <v>400</v>
      </c>
      <c r="E68" s="22" t="s">
        <v>391</v>
      </c>
      <c r="F68" s="22" t="s">
        <v>526</v>
      </c>
      <c r="G68" s="20" t="s">
        <v>64</v>
      </c>
      <c r="H68" s="20"/>
      <c r="I68" s="20" t="str">
        <f>VLOOKUP(B68,'[1]BILLING &amp; PAY SHEET'!$C$9:$H$109,6,0)</f>
        <v>30.01.2004</v>
      </c>
      <c r="J68" s="20" t="str">
        <f>VLOOKUP(B68,'[1]BILLING &amp; PAY SHEET'!$C$9:$I$109,7,0)</f>
        <v>20.11.2024</v>
      </c>
      <c r="K68" s="20" t="s">
        <v>67</v>
      </c>
      <c r="L68" s="20" t="s">
        <v>69</v>
      </c>
      <c r="M68" s="20" t="s">
        <v>539</v>
      </c>
      <c r="N68" s="4" t="s">
        <v>144</v>
      </c>
      <c r="O68" s="20" t="s">
        <v>542</v>
      </c>
      <c r="P68" s="20" t="s">
        <v>68</v>
      </c>
      <c r="Q68" s="23" t="s">
        <v>545</v>
      </c>
      <c r="R68" s="20" t="s">
        <v>46</v>
      </c>
      <c r="S68" s="20" t="s">
        <v>155</v>
      </c>
      <c r="T68" s="20" t="s">
        <v>43</v>
      </c>
      <c r="U68" s="20"/>
      <c r="V68" s="20" t="s">
        <v>606</v>
      </c>
      <c r="W68" s="24">
        <v>2504889562</v>
      </c>
      <c r="X68" s="20"/>
      <c r="Y68" s="23" t="e">
        <f>VLOOKUP(#REF!,[2]Sheet4!$C$2:$F$141,4,0)</f>
        <v>#REF!</v>
      </c>
      <c r="Z68" s="23" t="s">
        <v>682</v>
      </c>
      <c r="AA68" s="20">
        <v>8459778780</v>
      </c>
      <c r="AB68" s="20" t="s">
        <v>1319</v>
      </c>
      <c r="AC68" s="20"/>
      <c r="AD68" s="20" t="s">
        <v>391</v>
      </c>
      <c r="AE68" s="20">
        <v>8459778780</v>
      </c>
      <c r="AF68" s="20"/>
      <c r="AG68" s="25" t="s">
        <v>933</v>
      </c>
      <c r="AH68" s="20" t="s">
        <v>934</v>
      </c>
      <c r="AI68" s="5" t="s">
        <v>799</v>
      </c>
      <c r="AJ68" s="20" t="s">
        <v>786</v>
      </c>
      <c r="AK68" s="20">
        <v>425412</v>
      </c>
      <c r="AL68" s="25" t="s">
        <v>933</v>
      </c>
      <c r="AM68" s="20" t="s">
        <v>934</v>
      </c>
      <c r="AN68" s="5" t="s">
        <v>799</v>
      </c>
      <c r="AO68" s="20" t="s">
        <v>786</v>
      </c>
      <c r="AP68" s="20">
        <v>425412</v>
      </c>
      <c r="AQ68" s="26" t="s">
        <v>846</v>
      </c>
      <c r="AR68" s="27" t="s">
        <v>866</v>
      </c>
      <c r="AS68" s="28" t="s">
        <v>912</v>
      </c>
      <c r="AT68" s="60" t="s">
        <v>314</v>
      </c>
    </row>
    <row r="69" spans="1:46" x14ac:dyDescent="0.25">
      <c r="A69" s="20">
        <v>64</v>
      </c>
      <c r="B69" s="21" t="s">
        <v>219</v>
      </c>
      <c r="C69" s="20" t="s">
        <v>50</v>
      </c>
      <c r="D69" s="22" t="s">
        <v>401</v>
      </c>
      <c r="E69" s="22" t="s">
        <v>467</v>
      </c>
      <c r="F69" s="22" t="s">
        <v>502</v>
      </c>
      <c r="G69" s="20" t="s">
        <v>64</v>
      </c>
      <c r="H69" s="20"/>
      <c r="I69" s="20" t="str">
        <f>VLOOKUP(B69,'[1]BILLING &amp; PAY SHEET'!$C$9:$H$109,6,0)</f>
        <v>30.09.1992</v>
      </c>
      <c r="J69" s="20" t="str">
        <f>VLOOKUP(B69,'[1]BILLING &amp; PAY SHEET'!$C$9:$I$109,7,0)</f>
        <v>25.11.2024</v>
      </c>
      <c r="K69" s="20" t="s">
        <v>67</v>
      </c>
      <c r="L69" s="20" t="s">
        <v>69</v>
      </c>
      <c r="M69" s="20" t="s">
        <v>539</v>
      </c>
      <c r="N69" s="4" t="s">
        <v>144</v>
      </c>
      <c r="O69" s="20" t="s">
        <v>542</v>
      </c>
      <c r="P69" s="20" t="s">
        <v>68</v>
      </c>
      <c r="Q69" s="23" t="s">
        <v>545</v>
      </c>
      <c r="R69" s="20" t="s">
        <v>46</v>
      </c>
      <c r="S69" s="20" t="s">
        <v>155</v>
      </c>
      <c r="T69" s="20" t="s">
        <v>43</v>
      </c>
      <c r="U69" s="20"/>
      <c r="V69" s="20" t="s">
        <v>607</v>
      </c>
      <c r="W69" s="24">
        <v>2504892266</v>
      </c>
      <c r="X69" s="20"/>
      <c r="Y69" s="23" t="e">
        <f>VLOOKUP(#REF!,[2]Sheet4!$C$2:$F$141,4,0)</f>
        <v>#REF!</v>
      </c>
      <c r="Z69" s="23" t="s">
        <v>683</v>
      </c>
      <c r="AA69" s="20">
        <v>9403931266</v>
      </c>
      <c r="AB69" s="20" t="s">
        <v>1319</v>
      </c>
      <c r="AC69" s="20"/>
      <c r="AD69" s="20" t="s">
        <v>467</v>
      </c>
      <c r="AE69" s="20">
        <v>9403931266</v>
      </c>
      <c r="AF69" s="20"/>
      <c r="AG69" s="25" t="s">
        <v>728</v>
      </c>
      <c r="AH69" s="20" t="s">
        <v>931</v>
      </c>
      <c r="AI69" s="5" t="s">
        <v>799</v>
      </c>
      <c r="AJ69" s="20" t="s">
        <v>781</v>
      </c>
      <c r="AK69" s="20">
        <v>424304</v>
      </c>
      <c r="AL69" s="25" t="s">
        <v>728</v>
      </c>
      <c r="AM69" s="20" t="s">
        <v>931</v>
      </c>
      <c r="AN69" s="5" t="s">
        <v>799</v>
      </c>
      <c r="AO69" s="20" t="s">
        <v>781</v>
      </c>
      <c r="AP69" s="20">
        <v>424304</v>
      </c>
      <c r="AQ69" s="26" t="s">
        <v>848</v>
      </c>
      <c r="AR69" s="27" t="s">
        <v>867</v>
      </c>
      <c r="AS69" s="28" t="s">
        <v>915</v>
      </c>
      <c r="AT69" s="60" t="s">
        <v>315</v>
      </c>
    </row>
    <row r="70" spans="1:46" x14ac:dyDescent="0.25">
      <c r="A70" s="20">
        <v>65</v>
      </c>
      <c r="B70" s="21" t="s">
        <v>220</v>
      </c>
      <c r="C70" s="20" t="s">
        <v>50</v>
      </c>
      <c r="D70" s="22" t="s">
        <v>402</v>
      </c>
      <c r="E70" s="22" t="s">
        <v>393</v>
      </c>
      <c r="F70" s="22" t="s">
        <v>516</v>
      </c>
      <c r="G70" s="20" t="s">
        <v>64</v>
      </c>
      <c r="H70" s="20"/>
      <c r="I70" s="20" t="str">
        <f>VLOOKUP(B70,'[1]BILLING &amp; PAY SHEET'!$C$9:$H$109,6,0)</f>
        <v>13.10.1995</v>
      </c>
      <c r="J70" s="20" t="str">
        <f>VLOOKUP(B70,'[1]BILLING &amp; PAY SHEET'!$C$9:$I$109,7,0)</f>
        <v>18.11.2024</v>
      </c>
      <c r="K70" s="20" t="s">
        <v>67</v>
      </c>
      <c r="L70" s="20" t="s">
        <v>69</v>
      </c>
      <c r="M70" s="20" t="s">
        <v>539</v>
      </c>
      <c r="N70" s="4" t="s">
        <v>144</v>
      </c>
      <c r="O70" s="20" t="s">
        <v>542</v>
      </c>
      <c r="P70" s="20" t="s">
        <v>68</v>
      </c>
      <c r="Q70" s="23" t="s">
        <v>545</v>
      </c>
      <c r="R70" s="20" t="s">
        <v>46</v>
      </c>
      <c r="S70" s="20" t="s">
        <v>155</v>
      </c>
      <c r="T70" s="20" t="s">
        <v>43</v>
      </c>
      <c r="U70" s="20"/>
      <c r="V70" s="20" t="s">
        <v>608</v>
      </c>
      <c r="W70" s="24">
        <v>2504888613</v>
      </c>
      <c r="X70" s="20"/>
      <c r="Y70" s="23" t="e">
        <f>VLOOKUP(#REF!,[2]Sheet4!$C$2:$F$141,4,0)</f>
        <v>#REF!</v>
      </c>
      <c r="Z70" s="23" t="s">
        <v>684</v>
      </c>
      <c r="AA70" s="20">
        <v>7350862025</v>
      </c>
      <c r="AB70" s="20" t="s">
        <v>1319</v>
      </c>
      <c r="AC70" s="20"/>
      <c r="AD70" s="20" t="s">
        <v>393</v>
      </c>
      <c r="AE70" s="20">
        <v>7350862025</v>
      </c>
      <c r="AF70" s="20"/>
      <c r="AG70" s="25" t="s">
        <v>729</v>
      </c>
      <c r="AH70" s="20" t="s">
        <v>932</v>
      </c>
      <c r="AI70" s="5" t="s">
        <v>799</v>
      </c>
      <c r="AJ70" s="20" t="s">
        <v>781</v>
      </c>
      <c r="AK70" s="20">
        <v>425412</v>
      </c>
      <c r="AL70" s="25" t="s">
        <v>729</v>
      </c>
      <c r="AM70" s="20" t="s">
        <v>932</v>
      </c>
      <c r="AN70" s="5" t="s">
        <v>799</v>
      </c>
      <c r="AO70" s="20" t="s">
        <v>781</v>
      </c>
      <c r="AP70" s="20">
        <v>425412</v>
      </c>
      <c r="AQ70" s="26" t="s">
        <v>840</v>
      </c>
      <c r="AR70" s="27" t="s">
        <v>868</v>
      </c>
      <c r="AS70" s="28" t="s">
        <v>905</v>
      </c>
      <c r="AT70" s="60" t="s">
        <v>316</v>
      </c>
    </row>
    <row r="71" spans="1:46" x14ac:dyDescent="0.25">
      <c r="A71" s="20">
        <v>66</v>
      </c>
      <c r="B71" s="21" t="s">
        <v>221</v>
      </c>
      <c r="C71" s="20" t="s">
        <v>50</v>
      </c>
      <c r="D71" s="22" t="s">
        <v>364</v>
      </c>
      <c r="E71" s="22" t="s">
        <v>468</v>
      </c>
      <c r="F71" s="22" t="s">
        <v>527</v>
      </c>
      <c r="G71" s="20" t="s">
        <v>64</v>
      </c>
      <c r="H71" s="20"/>
      <c r="I71" s="20" t="str">
        <f>VLOOKUP(B71,'[1]BILLING &amp; PAY SHEET'!$C$9:$H$109,6,0)</f>
        <v>28.12.1998</v>
      </c>
      <c r="J71" s="20" t="str">
        <f>VLOOKUP(B71,'[1]BILLING &amp; PAY SHEET'!$C$9:$I$109,7,0)</f>
        <v>25.11.2024</v>
      </c>
      <c r="K71" s="20" t="s">
        <v>67</v>
      </c>
      <c r="L71" s="20" t="s">
        <v>69</v>
      </c>
      <c r="M71" s="20" t="s">
        <v>539</v>
      </c>
      <c r="N71" s="4" t="s">
        <v>144</v>
      </c>
      <c r="O71" s="20" t="s">
        <v>542</v>
      </c>
      <c r="P71" s="20" t="s">
        <v>68</v>
      </c>
      <c r="Q71" s="23" t="s">
        <v>545</v>
      </c>
      <c r="R71" s="20" t="s">
        <v>46</v>
      </c>
      <c r="S71" s="20" t="s">
        <v>155</v>
      </c>
      <c r="T71" s="20" t="s">
        <v>43</v>
      </c>
      <c r="U71" s="20"/>
      <c r="V71" s="20" t="s">
        <v>609</v>
      </c>
      <c r="W71" s="24">
        <v>2504892543</v>
      </c>
      <c r="X71" s="20"/>
      <c r="Y71" s="23" t="e">
        <f>VLOOKUP(#REF!,[2]Sheet4!$C$2:$F$141,4,0)</f>
        <v>#REF!</v>
      </c>
      <c r="Z71" s="23" t="s">
        <v>685</v>
      </c>
      <c r="AA71" s="20">
        <v>7517469829</v>
      </c>
      <c r="AB71" s="20" t="s">
        <v>1319</v>
      </c>
      <c r="AC71" s="20"/>
      <c r="AD71" s="20" t="s">
        <v>468</v>
      </c>
      <c r="AE71" s="20">
        <v>7517469829</v>
      </c>
      <c r="AF71" s="20"/>
      <c r="AG71" s="25" t="s">
        <v>730</v>
      </c>
      <c r="AH71" s="20" t="s">
        <v>777</v>
      </c>
      <c r="AI71" s="5" t="s">
        <v>799</v>
      </c>
      <c r="AJ71" s="20" t="s">
        <v>781</v>
      </c>
      <c r="AK71" s="20">
        <v>424305</v>
      </c>
      <c r="AL71" s="25" t="s">
        <v>730</v>
      </c>
      <c r="AM71" s="20" t="s">
        <v>777</v>
      </c>
      <c r="AN71" s="5" t="s">
        <v>799</v>
      </c>
      <c r="AO71" s="20" t="s">
        <v>781</v>
      </c>
      <c r="AP71" s="20">
        <v>424305</v>
      </c>
      <c r="AQ71" s="26" t="s">
        <v>840</v>
      </c>
      <c r="AR71" s="27" t="s">
        <v>869</v>
      </c>
      <c r="AS71" s="28" t="s">
        <v>895</v>
      </c>
      <c r="AT71" s="60" t="s">
        <v>317</v>
      </c>
    </row>
    <row r="72" spans="1:46" x14ac:dyDescent="0.25">
      <c r="A72" s="20">
        <v>67</v>
      </c>
      <c r="B72" s="21" t="s">
        <v>222</v>
      </c>
      <c r="C72" s="20" t="s">
        <v>50</v>
      </c>
      <c r="D72" s="22" t="s">
        <v>403</v>
      </c>
      <c r="E72" s="22" t="s">
        <v>415</v>
      </c>
      <c r="F72" s="22" t="s">
        <v>528</v>
      </c>
      <c r="G72" s="20" t="s">
        <v>64</v>
      </c>
      <c r="H72" s="20"/>
      <c r="I72" s="20" t="str">
        <f>VLOOKUP(B72,'[1]BILLING &amp; PAY SHEET'!$C$9:$H$109,6,0)</f>
        <v>22.01.1992</v>
      </c>
      <c r="J72" s="20" t="str">
        <f>VLOOKUP(B72,'[1]BILLING &amp; PAY SHEET'!$C$9:$I$109,7,0)</f>
        <v>21.11.2024</v>
      </c>
      <c r="K72" s="20" t="s">
        <v>67</v>
      </c>
      <c r="L72" s="20" t="s">
        <v>69</v>
      </c>
      <c r="M72" s="20" t="s">
        <v>539</v>
      </c>
      <c r="N72" s="4" t="s">
        <v>144</v>
      </c>
      <c r="O72" s="20" t="s">
        <v>542</v>
      </c>
      <c r="P72" s="20" t="s">
        <v>68</v>
      </c>
      <c r="Q72" s="23" t="s">
        <v>545</v>
      </c>
      <c r="R72" s="20" t="s">
        <v>46</v>
      </c>
      <c r="S72" s="20" t="s">
        <v>155</v>
      </c>
      <c r="T72" s="20" t="s">
        <v>43</v>
      </c>
      <c r="U72" s="20"/>
      <c r="V72" s="20" t="s">
        <v>610</v>
      </c>
      <c r="W72" s="24">
        <v>2504890076</v>
      </c>
      <c r="X72" s="20"/>
      <c r="Y72" s="23" t="e">
        <f>VLOOKUP(#REF!,[2]Sheet4!$C$2:$F$141,4,0)</f>
        <v>#REF!</v>
      </c>
      <c r="Z72" s="23" t="s">
        <v>686</v>
      </c>
      <c r="AA72" s="20">
        <v>9545902956</v>
      </c>
      <c r="AB72" s="20" t="s">
        <v>1319</v>
      </c>
      <c r="AC72" s="20"/>
      <c r="AD72" s="20" t="s">
        <v>415</v>
      </c>
      <c r="AE72" s="20">
        <v>9545902956</v>
      </c>
      <c r="AF72" s="20"/>
      <c r="AG72" s="25" t="s">
        <v>731</v>
      </c>
      <c r="AH72" s="20" t="s">
        <v>778</v>
      </c>
      <c r="AI72" s="5" t="s">
        <v>799</v>
      </c>
      <c r="AJ72" s="20" t="s">
        <v>786</v>
      </c>
      <c r="AK72" s="20">
        <v>425412</v>
      </c>
      <c r="AL72" s="25" t="s">
        <v>731</v>
      </c>
      <c r="AM72" s="20" t="s">
        <v>778</v>
      </c>
      <c r="AN72" s="5" t="s">
        <v>799</v>
      </c>
      <c r="AO72" s="20" t="s">
        <v>786</v>
      </c>
      <c r="AP72" s="20">
        <v>425412</v>
      </c>
      <c r="AQ72" s="26" t="s">
        <v>849</v>
      </c>
      <c r="AR72" s="27" t="s">
        <v>870</v>
      </c>
      <c r="AS72" s="28" t="s">
        <v>916</v>
      </c>
      <c r="AT72" s="60" t="s">
        <v>318</v>
      </c>
    </row>
    <row r="73" spans="1:46" x14ac:dyDescent="0.25">
      <c r="A73" s="20">
        <v>68</v>
      </c>
      <c r="B73" s="21" t="s">
        <v>223</v>
      </c>
      <c r="C73" s="20" t="s">
        <v>50</v>
      </c>
      <c r="D73" s="22" t="s">
        <v>350</v>
      </c>
      <c r="E73" s="22" t="s">
        <v>440</v>
      </c>
      <c r="F73" s="22" t="s">
        <v>529</v>
      </c>
      <c r="G73" s="20" t="s">
        <v>64</v>
      </c>
      <c r="H73" s="20"/>
      <c r="I73" s="20" t="str">
        <f>VLOOKUP(B73,'[1]BILLING &amp; PAY SHEET'!$C$9:$H$109,6,0)</f>
        <v>13.07.2003</v>
      </c>
      <c r="J73" s="20" t="str">
        <f>VLOOKUP(B73,'[1]BILLING &amp; PAY SHEET'!$C$9:$I$109,7,0)</f>
        <v>18.11.2024</v>
      </c>
      <c r="K73" s="20" t="s">
        <v>67</v>
      </c>
      <c r="L73" s="20" t="s">
        <v>69</v>
      </c>
      <c r="M73" s="20" t="s">
        <v>539</v>
      </c>
      <c r="N73" s="4" t="s">
        <v>144</v>
      </c>
      <c r="O73" s="20" t="s">
        <v>542</v>
      </c>
      <c r="P73" s="20" t="s">
        <v>68</v>
      </c>
      <c r="Q73" s="23" t="s">
        <v>545</v>
      </c>
      <c r="R73" s="20" t="s">
        <v>46</v>
      </c>
      <c r="S73" s="20" t="s">
        <v>155</v>
      </c>
      <c r="T73" s="20" t="s">
        <v>43</v>
      </c>
      <c r="U73" s="20"/>
      <c r="V73" s="20" t="s">
        <v>611</v>
      </c>
      <c r="W73" s="24">
        <v>2504888590</v>
      </c>
      <c r="X73" s="20"/>
      <c r="Y73" s="23" t="e">
        <f>VLOOKUP(#REF!,[2]Sheet4!$C$2:$F$141,4,0)</f>
        <v>#REF!</v>
      </c>
      <c r="Z73" s="23" t="s">
        <v>687</v>
      </c>
      <c r="AA73" s="20">
        <v>9511227220</v>
      </c>
      <c r="AB73" s="20" t="s">
        <v>1319</v>
      </c>
      <c r="AC73" s="20"/>
      <c r="AD73" s="20" t="s">
        <v>440</v>
      </c>
      <c r="AE73" s="20">
        <v>9511227220</v>
      </c>
      <c r="AF73" s="20"/>
      <c r="AG73" s="25" t="s">
        <v>732</v>
      </c>
      <c r="AH73" s="20" t="s">
        <v>935</v>
      </c>
      <c r="AI73" s="5" t="s">
        <v>799</v>
      </c>
      <c r="AJ73" s="20" t="s">
        <v>786</v>
      </c>
      <c r="AK73" s="20">
        <v>425408</v>
      </c>
      <c r="AL73" s="25" t="s">
        <v>732</v>
      </c>
      <c r="AM73" s="20" t="s">
        <v>935</v>
      </c>
      <c r="AN73" s="5" t="s">
        <v>799</v>
      </c>
      <c r="AO73" s="20" t="s">
        <v>786</v>
      </c>
      <c r="AP73" s="20">
        <v>425408</v>
      </c>
      <c r="AQ73" s="26" t="s">
        <v>839</v>
      </c>
      <c r="AR73" s="27" t="s">
        <v>871</v>
      </c>
      <c r="AS73" s="28" t="s">
        <v>894</v>
      </c>
      <c r="AT73" s="60" t="s">
        <v>319</v>
      </c>
    </row>
    <row r="74" spans="1:46" x14ac:dyDescent="0.25">
      <c r="A74" s="20">
        <v>69</v>
      </c>
      <c r="B74" s="21" t="s">
        <v>224</v>
      </c>
      <c r="C74" s="20" t="s">
        <v>50</v>
      </c>
      <c r="D74" s="22" t="s">
        <v>357</v>
      </c>
      <c r="E74" s="22" t="s">
        <v>397</v>
      </c>
      <c r="F74" s="22" t="s">
        <v>496</v>
      </c>
      <c r="G74" s="20" t="s">
        <v>64</v>
      </c>
      <c r="H74" s="20"/>
      <c r="I74" s="20" t="str">
        <f>VLOOKUP(B74,'[1]BILLING &amp; PAY SHEET'!$C$9:$H$109,6,0)</f>
        <v>17.10.2003</v>
      </c>
      <c r="J74" s="31">
        <f>VLOOKUP(B74,'[1]BILLING &amp; PAY SHEET'!$C$9:$I$109,7,0)</f>
        <v>45614</v>
      </c>
      <c r="K74" s="20" t="s">
        <v>67</v>
      </c>
      <c r="L74" s="20" t="s">
        <v>69</v>
      </c>
      <c r="M74" s="20" t="s">
        <v>539</v>
      </c>
      <c r="N74" s="4" t="s">
        <v>144</v>
      </c>
      <c r="O74" s="20" t="s">
        <v>542</v>
      </c>
      <c r="P74" s="20" t="s">
        <v>68</v>
      </c>
      <c r="Q74" s="23" t="s">
        <v>545</v>
      </c>
      <c r="R74" s="20" t="s">
        <v>46</v>
      </c>
      <c r="S74" s="20" t="s">
        <v>155</v>
      </c>
      <c r="T74" s="20" t="s">
        <v>43</v>
      </c>
      <c r="U74" s="20"/>
      <c r="V74" s="20" t="s">
        <v>612</v>
      </c>
      <c r="W74" s="24">
        <v>2504888480</v>
      </c>
      <c r="X74" s="20"/>
      <c r="Y74" s="23" t="e">
        <f>VLOOKUP(#REF!,[2]Sheet4!$C$2:$F$141,4,0)</f>
        <v>#REF!</v>
      </c>
      <c r="Z74" s="23" t="s">
        <v>688</v>
      </c>
      <c r="AA74" s="20">
        <v>9022176155</v>
      </c>
      <c r="AB74" s="20" t="s">
        <v>1319</v>
      </c>
      <c r="AC74" s="20"/>
      <c r="AD74" s="20" t="s">
        <v>397</v>
      </c>
      <c r="AE74" s="20">
        <v>9022176155</v>
      </c>
      <c r="AF74" s="20"/>
      <c r="AG74" s="25" t="s">
        <v>733</v>
      </c>
      <c r="AH74" s="34" t="s">
        <v>936</v>
      </c>
      <c r="AI74" s="5" t="s">
        <v>799</v>
      </c>
      <c r="AJ74" s="20" t="s">
        <v>781</v>
      </c>
      <c r="AK74" s="20">
        <v>424305</v>
      </c>
      <c r="AL74" s="25" t="s">
        <v>733</v>
      </c>
      <c r="AM74" s="34" t="s">
        <v>936</v>
      </c>
      <c r="AN74" s="5" t="s">
        <v>799</v>
      </c>
      <c r="AO74" s="20" t="s">
        <v>781</v>
      </c>
      <c r="AP74" s="20">
        <v>424305</v>
      </c>
      <c r="AQ74" s="26" t="s">
        <v>841</v>
      </c>
      <c r="AR74" s="27" t="s">
        <v>872</v>
      </c>
      <c r="AS74" s="28" t="s">
        <v>896</v>
      </c>
      <c r="AT74" s="60" t="s">
        <v>320</v>
      </c>
    </row>
    <row r="75" spans="1:46" x14ac:dyDescent="0.25">
      <c r="A75" s="20">
        <v>70</v>
      </c>
      <c r="B75" s="21" t="s">
        <v>225</v>
      </c>
      <c r="C75" s="20" t="s">
        <v>50</v>
      </c>
      <c r="D75" s="22" t="s">
        <v>404</v>
      </c>
      <c r="E75" s="22" t="s">
        <v>364</v>
      </c>
      <c r="F75" s="22" t="s">
        <v>530</v>
      </c>
      <c r="G75" s="20" t="s">
        <v>64</v>
      </c>
      <c r="H75" s="20"/>
      <c r="I75" s="20" t="str">
        <f>VLOOKUP(B75,'[1]BILLING &amp; PAY SHEET'!$C$9:$H$109,6,0)</f>
        <v>16.09.2002</v>
      </c>
      <c r="J75" s="31">
        <f>VLOOKUP(B75,'[1]BILLING &amp; PAY SHEET'!$C$9:$I$109,7,0)</f>
        <v>45619</v>
      </c>
      <c r="K75" s="20" t="s">
        <v>67</v>
      </c>
      <c r="L75" s="20" t="s">
        <v>69</v>
      </c>
      <c r="M75" s="20" t="s">
        <v>539</v>
      </c>
      <c r="N75" s="4" t="s">
        <v>144</v>
      </c>
      <c r="O75" s="20" t="s">
        <v>542</v>
      </c>
      <c r="P75" s="20" t="s">
        <v>68</v>
      </c>
      <c r="Q75" s="23" t="s">
        <v>545</v>
      </c>
      <c r="R75" s="20" t="s">
        <v>46</v>
      </c>
      <c r="S75" s="20" t="s">
        <v>155</v>
      </c>
      <c r="T75" s="20" t="s">
        <v>43</v>
      </c>
      <c r="U75" s="20"/>
      <c r="V75" s="20" t="s">
        <v>613</v>
      </c>
      <c r="W75" s="24">
        <v>2504891097</v>
      </c>
      <c r="X75" s="20"/>
      <c r="Y75" s="23" t="e">
        <f>VLOOKUP(#REF!,[2]Sheet4!$C$2:$F$141,4,0)</f>
        <v>#REF!</v>
      </c>
      <c r="Z75" s="23" t="s">
        <v>689</v>
      </c>
      <c r="AA75" s="20">
        <v>8080255817</v>
      </c>
      <c r="AB75" s="20" t="s">
        <v>1319</v>
      </c>
      <c r="AC75" s="20"/>
      <c r="AD75" s="20" t="s">
        <v>364</v>
      </c>
      <c r="AE75" s="20">
        <v>8080255817</v>
      </c>
      <c r="AF75" s="20"/>
      <c r="AG75" s="25" t="s">
        <v>937</v>
      </c>
      <c r="AH75" s="34" t="s">
        <v>938</v>
      </c>
      <c r="AI75" s="5" t="s">
        <v>799</v>
      </c>
      <c r="AJ75" s="20" t="s">
        <v>781</v>
      </c>
      <c r="AK75" s="20">
        <v>424305</v>
      </c>
      <c r="AL75" s="25" t="s">
        <v>937</v>
      </c>
      <c r="AM75" s="34" t="s">
        <v>938</v>
      </c>
      <c r="AN75" s="5" t="s">
        <v>799</v>
      </c>
      <c r="AO75" s="20" t="s">
        <v>781</v>
      </c>
      <c r="AP75" s="20">
        <v>424305</v>
      </c>
      <c r="AQ75" s="26" t="s">
        <v>841</v>
      </c>
      <c r="AR75" s="27" t="s">
        <v>873</v>
      </c>
      <c r="AS75" s="28" t="s">
        <v>896</v>
      </c>
      <c r="AT75" s="60" t="s">
        <v>321</v>
      </c>
    </row>
    <row r="76" spans="1:46" x14ac:dyDescent="0.25">
      <c r="A76" s="20">
        <v>71</v>
      </c>
      <c r="B76" s="21" t="s">
        <v>1005</v>
      </c>
      <c r="C76" s="20" t="s">
        <v>50</v>
      </c>
      <c r="D76" s="22" t="s">
        <v>1006</v>
      </c>
      <c r="E76" s="22" t="s">
        <v>1007</v>
      </c>
      <c r="F76" s="22" t="s">
        <v>496</v>
      </c>
      <c r="G76" s="20" t="s">
        <v>1008</v>
      </c>
      <c r="H76" s="20"/>
      <c r="I76" s="20" t="s">
        <v>1009</v>
      </c>
      <c r="J76" s="31" t="s">
        <v>1004</v>
      </c>
      <c r="K76" s="20" t="s">
        <v>67</v>
      </c>
      <c r="L76" s="20" t="s">
        <v>69</v>
      </c>
      <c r="M76" s="20" t="s">
        <v>541</v>
      </c>
      <c r="N76" s="4" t="s">
        <v>144</v>
      </c>
      <c r="O76" s="20" t="s">
        <v>542</v>
      </c>
      <c r="P76" s="20" t="s">
        <v>68</v>
      </c>
      <c r="Q76" s="23" t="s">
        <v>545</v>
      </c>
      <c r="R76" s="20" t="s">
        <v>46</v>
      </c>
      <c r="S76" s="20" t="s">
        <v>155</v>
      </c>
      <c r="T76" s="20" t="s">
        <v>43</v>
      </c>
      <c r="U76" s="20"/>
      <c r="V76" s="23">
        <v>102145199812</v>
      </c>
      <c r="W76" s="24">
        <v>2504888536</v>
      </c>
      <c r="X76" s="20"/>
      <c r="Y76" s="23" t="e">
        <f>VLOOKUP(#REF!,[2]Sheet4!$C$2:$F$141,4,0)</f>
        <v>#REF!</v>
      </c>
      <c r="Z76" s="23">
        <v>564018749979</v>
      </c>
      <c r="AA76" s="20">
        <v>9022980750</v>
      </c>
      <c r="AB76" s="20" t="s">
        <v>1319</v>
      </c>
      <c r="AC76" s="20"/>
      <c r="AD76" s="20" t="s">
        <v>1007</v>
      </c>
      <c r="AE76" s="20">
        <v>9022980750</v>
      </c>
      <c r="AF76" s="20"/>
      <c r="AG76" s="25" t="s">
        <v>1010</v>
      </c>
      <c r="AH76" s="20" t="s">
        <v>723</v>
      </c>
      <c r="AI76" s="5" t="s">
        <v>799</v>
      </c>
      <c r="AJ76" s="20" t="s">
        <v>723</v>
      </c>
      <c r="AK76" s="20">
        <v>425408</v>
      </c>
      <c r="AL76" s="25" t="s">
        <v>1010</v>
      </c>
      <c r="AM76" s="20" t="s">
        <v>723</v>
      </c>
      <c r="AN76" s="5" t="s">
        <v>799</v>
      </c>
      <c r="AO76" s="20" t="s">
        <v>723</v>
      </c>
      <c r="AP76" s="20">
        <v>425408</v>
      </c>
      <c r="AQ76" s="26" t="s">
        <v>839</v>
      </c>
      <c r="AR76" s="27" t="s">
        <v>1011</v>
      </c>
      <c r="AS76" s="28" t="s">
        <v>894</v>
      </c>
      <c r="AT76" s="22" t="s">
        <v>1012</v>
      </c>
    </row>
    <row r="77" spans="1:46" x14ac:dyDescent="0.25">
      <c r="A77" s="20">
        <v>72</v>
      </c>
      <c r="B77" s="21" t="s">
        <v>226</v>
      </c>
      <c r="C77" s="20" t="s">
        <v>50</v>
      </c>
      <c r="D77" s="22" t="s">
        <v>360</v>
      </c>
      <c r="E77" s="22" t="s">
        <v>469</v>
      </c>
      <c r="F77" s="22" t="s">
        <v>496</v>
      </c>
      <c r="G77" s="20" t="s">
        <v>64</v>
      </c>
      <c r="H77" s="20"/>
      <c r="I77" s="20" t="str">
        <f>VLOOKUP(B77,'[1]BILLING &amp; PAY SHEET'!$C$9:$H$109,6,0)</f>
        <v>21.04.1999</v>
      </c>
      <c r="J77" s="31">
        <f>VLOOKUP(B77,'[1]BILLING &amp; PAY SHEET'!$C$9:$I$109,7,0)</f>
        <v>45625</v>
      </c>
      <c r="K77" s="20" t="s">
        <v>67</v>
      </c>
      <c r="L77" s="20" t="s">
        <v>69</v>
      </c>
      <c r="M77" s="20" t="s">
        <v>539</v>
      </c>
      <c r="N77" s="4" t="s">
        <v>144</v>
      </c>
      <c r="O77" s="20" t="s">
        <v>542</v>
      </c>
      <c r="P77" s="20" t="s">
        <v>68</v>
      </c>
      <c r="Q77" s="23" t="s">
        <v>545</v>
      </c>
      <c r="R77" s="20" t="s">
        <v>46</v>
      </c>
      <c r="S77" s="20" t="s">
        <v>155</v>
      </c>
      <c r="T77" s="20" t="s">
        <v>43</v>
      </c>
      <c r="U77" s="20"/>
      <c r="V77" s="20" t="s">
        <v>614</v>
      </c>
      <c r="W77" s="24">
        <v>2504889551</v>
      </c>
      <c r="X77" s="20"/>
      <c r="Y77" s="23" t="e">
        <f>VLOOKUP(#REF!,[2]Sheet4!$C$2:$F$141,4,0)</f>
        <v>#REF!</v>
      </c>
      <c r="Z77" s="23" t="s">
        <v>690</v>
      </c>
      <c r="AA77" s="20">
        <v>7875645813</v>
      </c>
      <c r="AB77" s="20" t="s">
        <v>1319</v>
      </c>
      <c r="AC77" s="20"/>
      <c r="AD77" s="20" t="s">
        <v>469</v>
      </c>
      <c r="AE77" s="20">
        <v>7875645813</v>
      </c>
      <c r="AF77" s="20"/>
      <c r="AG77" s="25" t="s">
        <v>734</v>
      </c>
      <c r="AH77" s="34" t="s">
        <v>770</v>
      </c>
      <c r="AI77" s="5" t="s">
        <v>799</v>
      </c>
      <c r="AJ77" s="20" t="s">
        <v>787</v>
      </c>
      <c r="AK77" s="20">
        <v>425408</v>
      </c>
      <c r="AL77" s="25" t="s">
        <v>734</v>
      </c>
      <c r="AM77" s="34" t="s">
        <v>770</v>
      </c>
      <c r="AN77" s="5" t="s">
        <v>799</v>
      </c>
      <c r="AO77" s="20" t="s">
        <v>787</v>
      </c>
      <c r="AP77" s="20">
        <v>425408</v>
      </c>
      <c r="AQ77" s="26" t="s">
        <v>842</v>
      </c>
      <c r="AR77" s="27" t="s">
        <v>874</v>
      </c>
      <c r="AS77" s="28" t="s">
        <v>900</v>
      </c>
      <c r="AT77" s="60" t="s">
        <v>322</v>
      </c>
    </row>
    <row r="78" spans="1:46" x14ac:dyDescent="0.25">
      <c r="A78" s="20">
        <v>73</v>
      </c>
      <c r="B78" s="21" t="s">
        <v>227</v>
      </c>
      <c r="C78" s="20" t="s">
        <v>50</v>
      </c>
      <c r="D78" s="22" t="s">
        <v>390</v>
      </c>
      <c r="E78" s="22" t="s">
        <v>470</v>
      </c>
      <c r="F78" s="22" t="s">
        <v>531</v>
      </c>
      <c r="G78" s="20" t="s">
        <v>64</v>
      </c>
      <c r="H78" s="20"/>
      <c r="I78" s="20" t="str">
        <f>VLOOKUP(B78,'[1]BILLING &amp; PAY SHEET'!$C$9:$H$109,6,0)</f>
        <v>25.01.2004</v>
      </c>
      <c r="J78" s="31">
        <f>VLOOKUP(B78,'[1]BILLING &amp; PAY SHEET'!$C$9:$I$109,7,0)</f>
        <v>45614</v>
      </c>
      <c r="K78" s="20" t="s">
        <v>67</v>
      </c>
      <c r="L78" s="20" t="s">
        <v>69</v>
      </c>
      <c r="M78" s="20" t="s">
        <v>539</v>
      </c>
      <c r="N78" s="4" t="s">
        <v>144</v>
      </c>
      <c r="O78" s="20" t="s">
        <v>542</v>
      </c>
      <c r="P78" s="20" t="s">
        <v>68</v>
      </c>
      <c r="Q78" s="23" t="s">
        <v>545</v>
      </c>
      <c r="R78" s="20" t="s">
        <v>46</v>
      </c>
      <c r="S78" s="20" t="s">
        <v>155</v>
      </c>
      <c r="T78" s="20" t="s">
        <v>43</v>
      </c>
      <c r="U78" s="20"/>
      <c r="V78" s="20" t="s">
        <v>615</v>
      </c>
      <c r="W78" s="24">
        <v>2504888604</v>
      </c>
      <c r="X78" s="20"/>
      <c r="Y78" s="23" t="e">
        <f>VLOOKUP(#REF!,[2]Sheet4!$C$2:$F$141,4,0)</f>
        <v>#REF!</v>
      </c>
      <c r="Z78" s="23" t="s">
        <v>691</v>
      </c>
      <c r="AA78" s="20">
        <v>8459835416</v>
      </c>
      <c r="AB78" s="20" t="s">
        <v>1319</v>
      </c>
      <c r="AC78" s="20"/>
      <c r="AD78" s="20" t="s">
        <v>470</v>
      </c>
      <c r="AE78" s="20">
        <v>8459835416</v>
      </c>
      <c r="AF78" s="20"/>
      <c r="AG78" s="25" t="s">
        <v>735</v>
      </c>
      <c r="AH78" s="34" t="s">
        <v>938</v>
      </c>
      <c r="AI78" s="5" t="s">
        <v>799</v>
      </c>
      <c r="AJ78" s="20" t="s">
        <v>781</v>
      </c>
      <c r="AK78" s="20">
        <v>424305</v>
      </c>
      <c r="AL78" s="25" t="s">
        <v>735</v>
      </c>
      <c r="AM78" s="34" t="s">
        <v>938</v>
      </c>
      <c r="AN78" s="5" t="s">
        <v>799</v>
      </c>
      <c r="AO78" s="20" t="s">
        <v>781</v>
      </c>
      <c r="AP78" s="20">
        <v>424305</v>
      </c>
      <c r="AQ78" s="26" t="s">
        <v>840</v>
      </c>
      <c r="AR78" s="27" t="s">
        <v>875</v>
      </c>
      <c r="AS78" s="28" t="s">
        <v>895</v>
      </c>
      <c r="AT78" s="60" t="s">
        <v>323</v>
      </c>
    </row>
    <row r="79" spans="1:46" x14ac:dyDescent="0.25">
      <c r="A79" s="20">
        <v>74</v>
      </c>
      <c r="B79" s="21" t="s">
        <v>228</v>
      </c>
      <c r="C79" s="20" t="s">
        <v>50</v>
      </c>
      <c r="D79" s="22" t="s">
        <v>377</v>
      </c>
      <c r="E79" s="22" t="s">
        <v>471</v>
      </c>
      <c r="F79" s="22" t="s">
        <v>519</v>
      </c>
      <c r="G79" s="20" t="s">
        <v>64</v>
      </c>
      <c r="H79" s="20"/>
      <c r="I79" s="20" t="str">
        <f>VLOOKUP(B79,'[1]BILLING &amp; PAY SHEET'!$C$9:$H$109,6,0)</f>
        <v>14.01.1997</v>
      </c>
      <c r="J79" s="31">
        <f>VLOOKUP(B79,'[1]BILLING &amp; PAY SHEET'!$C$9:$I$109,7,0)</f>
        <v>45616</v>
      </c>
      <c r="K79" s="20" t="s">
        <v>67</v>
      </c>
      <c r="L79" s="20" t="s">
        <v>69</v>
      </c>
      <c r="M79" s="20" t="s">
        <v>539</v>
      </c>
      <c r="N79" s="4" t="s">
        <v>144</v>
      </c>
      <c r="O79" s="20" t="s">
        <v>542</v>
      </c>
      <c r="P79" s="20" t="s">
        <v>68</v>
      </c>
      <c r="Q79" s="23" t="s">
        <v>545</v>
      </c>
      <c r="R79" s="20" t="s">
        <v>46</v>
      </c>
      <c r="S79" s="20" t="s">
        <v>155</v>
      </c>
      <c r="T79" s="20" t="s">
        <v>43</v>
      </c>
      <c r="U79" s="20"/>
      <c r="V79" s="20" t="s">
        <v>616</v>
      </c>
      <c r="W79" s="24">
        <v>2504889616</v>
      </c>
      <c r="X79" s="20"/>
      <c r="Y79" s="23" t="e">
        <f>VLOOKUP(#REF!,[2]Sheet4!$C$2:$F$141,4,0)</f>
        <v>#REF!</v>
      </c>
      <c r="Z79" s="23" t="s">
        <v>692</v>
      </c>
      <c r="AA79" s="20">
        <v>7767866801</v>
      </c>
      <c r="AB79" s="20" t="s">
        <v>1319</v>
      </c>
      <c r="AC79" s="20"/>
      <c r="AD79" s="20" t="s">
        <v>471</v>
      </c>
      <c r="AE79" s="20">
        <v>7767866801</v>
      </c>
      <c r="AF79" s="20"/>
      <c r="AG79" s="25" t="s">
        <v>736</v>
      </c>
      <c r="AH79" s="34" t="s">
        <v>939</v>
      </c>
      <c r="AI79" s="5" t="s">
        <v>799</v>
      </c>
      <c r="AJ79" s="20" t="s">
        <v>781</v>
      </c>
      <c r="AK79" s="20">
        <v>424305</v>
      </c>
      <c r="AL79" s="25" t="s">
        <v>736</v>
      </c>
      <c r="AM79" s="34" t="s">
        <v>939</v>
      </c>
      <c r="AN79" s="5" t="s">
        <v>799</v>
      </c>
      <c r="AO79" s="20" t="s">
        <v>781</v>
      </c>
      <c r="AP79" s="20">
        <v>424305</v>
      </c>
      <c r="AQ79" s="26" t="s">
        <v>841</v>
      </c>
      <c r="AR79" s="27" t="s">
        <v>876</v>
      </c>
      <c r="AS79" s="28" t="s">
        <v>896</v>
      </c>
      <c r="AT79" s="60" t="s">
        <v>324</v>
      </c>
    </row>
    <row r="80" spans="1:46" x14ac:dyDescent="0.25">
      <c r="A80" s="20">
        <v>75</v>
      </c>
      <c r="B80" s="21" t="s">
        <v>229</v>
      </c>
      <c r="C80" s="29" t="s">
        <v>54</v>
      </c>
      <c r="D80" s="22" t="s">
        <v>405</v>
      </c>
      <c r="E80" s="22" t="s">
        <v>417</v>
      </c>
      <c r="F80" s="22" t="s">
        <v>521</v>
      </c>
      <c r="G80" s="29" t="s">
        <v>65</v>
      </c>
      <c r="H80" s="20"/>
      <c r="I80" s="20" t="str">
        <f>VLOOKUP(B80,'[1]BILLING &amp; PAY SHEET'!$C$9:$H$109,6,0)</f>
        <v>22.12.2000</v>
      </c>
      <c r="J80" s="20" t="str">
        <f>VLOOKUP(B80,'[1]BILLING &amp; PAY SHEET'!$C$9:$I$109,7,0)</f>
        <v>14.01.2025</v>
      </c>
      <c r="K80" s="20" t="s">
        <v>67</v>
      </c>
      <c r="L80" s="20" t="s">
        <v>69</v>
      </c>
      <c r="M80" s="20" t="s">
        <v>539</v>
      </c>
      <c r="N80" s="4" t="s">
        <v>144</v>
      </c>
      <c r="O80" s="20" t="s">
        <v>542</v>
      </c>
      <c r="P80" s="20" t="s">
        <v>68</v>
      </c>
      <c r="Q80" s="23" t="s">
        <v>545</v>
      </c>
      <c r="R80" s="20" t="s">
        <v>46</v>
      </c>
      <c r="S80" s="20" t="s">
        <v>155</v>
      </c>
      <c r="T80" s="20" t="s">
        <v>43</v>
      </c>
      <c r="U80" s="20"/>
      <c r="V80" s="20" t="s">
        <v>617</v>
      </c>
      <c r="W80" s="24">
        <v>2504922490</v>
      </c>
      <c r="X80" s="20"/>
      <c r="Y80" s="23" t="e">
        <f>VLOOKUP(#REF!,[2]Sheet4!$C$2:$F$141,4,0)</f>
        <v>#REF!</v>
      </c>
      <c r="Z80" s="23" t="s">
        <v>693</v>
      </c>
      <c r="AA80" s="20">
        <v>7028790097</v>
      </c>
      <c r="AB80" s="20" t="s">
        <v>1185</v>
      </c>
      <c r="AC80" s="20"/>
      <c r="AD80" s="20" t="s">
        <v>417</v>
      </c>
      <c r="AE80" s="20">
        <v>7028790097</v>
      </c>
      <c r="AF80" s="20"/>
      <c r="AG80" s="25" t="s">
        <v>737</v>
      </c>
      <c r="AH80" s="34" t="s">
        <v>940</v>
      </c>
      <c r="AI80" s="5" t="s">
        <v>799</v>
      </c>
      <c r="AJ80" s="20" t="s">
        <v>781</v>
      </c>
      <c r="AK80" s="20">
        <v>424305</v>
      </c>
      <c r="AL80" s="25" t="s">
        <v>737</v>
      </c>
      <c r="AM80" s="34" t="s">
        <v>940</v>
      </c>
      <c r="AN80" s="5" t="s">
        <v>799</v>
      </c>
      <c r="AO80" s="20" t="s">
        <v>781</v>
      </c>
      <c r="AP80" s="20">
        <v>424305</v>
      </c>
      <c r="AQ80" s="26"/>
      <c r="AR80" s="27"/>
      <c r="AS80" s="28"/>
      <c r="AT80" s="60" t="s">
        <v>325</v>
      </c>
    </row>
    <row r="81" spans="1:46" x14ac:dyDescent="0.25">
      <c r="A81" s="20">
        <v>76</v>
      </c>
      <c r="B81" s="21" t="s">
        <v>230</v>
      </c>
      <c r="C81" s="20" t="s">
        <v>50</v>
      </c>
      <c r="D81" s="22" t="s">
        <v>406</v>
      </c>
      <c r="E81" s="22" t="s">
        <v>472</v>
      </c>
      <c r="F81" s="22" t="s">
        <v>501</v>
      </c>
      <c r="G81" s="20" t="s">
        <v>64</v>
      </c>
      <c r="H81" s="20"/>
      <c r="I81" s="20" t="str">
        <f>VLOOKUP(B81,'[1]BILLING &amp; PAY SHEET'!$C$9:$H$109,6,0)</f>
        <v>10.06.2002</v>
      </c>
      <c r="J81" s="20" t="str">
        <f>VLOOKUP(B81,'[1]BILLING &amp; PAY SHEET'!$C$9:$I$109,7,0)</f>
        <v>05.02.2025</v>
      </c>
      <c r="K81" s="20" t="s">
        <v>67</v>
      </c>
      <c r="L81" s="20" t="s">
        <v>69</v>
      </c>
      <c r="M81" s="20" t="s">
        <v>541</v>
      </c>
      <c r="N81" s="4" t="s">
        <v>144</v>
      </c>
      <c r="O81" s="20" t="s">
        <v>544</v>
      </c>
      <c r="P81" s="20" t="s">
        <v>68</v>
      </c>
      <c r="Q81" s="23" t="s">
        <v>545</v>
      </c>
      <c r="R81" s="20" t="s">
        <v>46</v>
      </c>
      <c r="S81" s="20" t="s">
        <v>155</v>
      </c>
      <c r="T81" s="20" t="s">
        <v>43</v>
      </c>
      <c r="U81" s="20"/>
      <c r="V81" s="20" t="s">
        <v>618</v>
      </c>
      <c r="W81" s="24">
        <v>2504935900</v>
      </c>
      <c r="X81" s="20"/>
      <c r="Y81" s="23" t="e">
        <f>VLOOKUP(#REF!,[2]Sheet4!$C$2:$F$141,4,0)</f>
        <v>#REF!</v>
      </c>
      <c r="Z81" s="23" t="s">
        <v>694</v>
      </c>
      <c r="AA81" s="20">
        <v>8010324468</v>
      </c>
      <c r="AB81" s="20" t="s">
        <v>1319</v>
      </c>
      <c r="AC81" s="20"/>
      <c r="AD81" s="20" t="s">
        <v>472</v>
      </c>
      <c r="AE81" s="20">
        <v>8010324468</v>
      </c>
      <c r="AF81" s="20"/>
      <c r="AG81" s="25" t="s">
        <v>738</v>
      </c>
      <c r="AH81" s="34" t="s">
        <v>941</v>
      </c>
      <c r="AI81" s="5" t="s">
        <v>799</v>
      </c>
      <c r="AJ81" s="20" t="s">
        <v>781</v>
      </c>
      <c r="AK81" s="20">
        <v>424308</v>
      </c>
      <c r="AL81" s="25" t="s">
        <v>738</v>
      </c>
      <c r="AM81" s="34" t="s">
        <v>941</v>
      </c>
      <c r="AN81" s="5" t="s">
        <v>799</v>
      </c>
      <c r="AO81" s="20" t="s">
        <v>781</v>
      </c>
      <c r="AP81" s="20">
        <v>424308</v>
      </c>
      <c r="AQ81" s="26" t="s">
        <v>840</v>
      </c>
      <c r="AR81" s="27" t="s">
        <v>877</v>
      </c>
      <c r="AS81" s="28" t="s">
        <v>910</v>
      </c>
      <c r="AT81" s="60" t="s">
        <v>326</v>
      </c>
    </row>
    <row r="82" spans="1:46" x14ac:dyDescent="0.25">
      <c r="A82" s="20">
        <v>77</v>
      </c>
      <c r="B82" s="21" t="s">
        <v>231</v>
      </c>
      <c r="C82" s="20" t="s">
        <v>50</v>
      </c>
      <c r="D82" s="22" t="s">
        <v>407</v>
      </c>
      <c r="E82" s="22" t="s">
        <v>473</v>
      </c>
      <c r="F82" s="22" t="s">
        <v>532</v>
      </c>
      <c r="G82" s="20" t="s">
        <v>64</v>
      </c>
      <c r="H82" s="20"/>
      <c r="I82" s="20" t="str">
        <f>VLOOKUP(B82,'[1]BILLING &amp; PAY SHEET'!$C$9:$H$109,6,0)</f>
        <v>26.06.2000</v>
      </c>
      <c r="J82" s="20" t="str">
        <f>VLOOKUP(B82,'[1]BILLING &amp; PAY SHEET'!$C$9:$I$109,7,0)</f>
        <v>18.02.2025</v>
      </c>
      <c r="K82" s="20" t="s">
        <v>67</v>
      </c>
      <c r="L82" s="20" t="s">
        <v>69</v>
      </c>
      <c r="M82" s="20" t="s">
        <v>539</v>
      </c>
      <c r="N82" s="4" t="s">
        <v>144</v>
      </c>
      <c r="O82" s="20" t="s">
        <v>542</v>
      </c>
      <c r="P82" s="20" t="s">
        <v>68</v>
      </c>
      <c r="Q82" s="23" t="s">
        <v>545</v>
      </c>
      <c r="R82" s="20" t="s">
        <v>46</v>
      </c>
      <c r="S82" s="20" t="s">
        <v>155</v>
      </c>
      <c r="T82" s="20" t="s">
        <v>43</v>
      </c>
      <c r="U82" s="20"/>
      <c r="V82" s="20" t="s">
        <v>619</v>
      </c>
      <c r="W82" s="24">
        <v>2504945735</v>
      </c>
      <c r="X82" s="20"/>
      <c r="Y82" s="23" t="e">
        <f>VLOOKUP(#REF!,[2]Sheet4!$C$2:$F$141,4,0)</f>
        <v>#REF!</v>
      </c>
      <c r="Z82" s="23">
        <v>207552902531</v>
      </c>
      <c r="AA82" s="20">
        <v>8554802531</v>
      </c>
      <c r="AB82" s="20" t="s">
        <v>1319</v>
      </c>
      <c r="AC82" s="20"/>
      <c r="AD82" s="20" t="s">
        <v>473</v>
      </c>
      <c r="AE82" s="20">
        <v>8554802531</v>
      </c>
      <c r="AF82" s="20"/>
      <c r="AG82" s="25" t="s">
        <v>739</v>
      </c>
      <c r="AH82" s="34" t="s">
        <v>942</v>
      </c>
      <c r="AI82" s="5" t="s">
        <v>799</v>
      </c>
      <c r="AJ82" s="20" t="s">
        <v>781</v>
      </c>
      <c r="AK82" s="33">
        <v>424305</v>
      </c>
      <c r="AL82" s="25" t="s">
        <v>739</v>
      </c>
      <c r="AM82" s="34" t="s">
        <v>942</v>
      </c>
      <c r="AN82" s="5" t="s">
        <v>799</v>
      </c>
      <c r="AO82" s="20" t="s">
        <v>781</v>
      </c>
      <c r="AP82" s="33">
        <v>424305</v>
      </c>
      <c r="AQ82" s="26" t="s">
        <v>840</v>
      </c>
      <c r="AR82" s="27" t="s">
        <v>878</v>
      </c>
      <c r="AS82" s="28" t="s">
        <v>895</v>
      </c>
      <c r="AT82" s="60" t="s">
        <v>327</v>
      </c>
    </row>
    <row r="83" spans="1:46" x14ac:dyDescent="0.25">
      <c r="A83" s="20">
        <v>78</v>
      </c>
      <c r="B83" s="21" t="s">
        <v>232</v>
      </c>
      <c r="C83" s="20" t="s">
        <v>50</v>
      </c>
      <c r="D83" s="22" t="s">
        <v>408</v>
      </c>
      <c r="E83" s="22" t="s">
        <v>474</v>
      </c>
      <c r="F83" s="22" t="s">
        <v>533</v>
      </c>
      <c r="G83" s="20" t="s">
        <v>64</v>
      </c>
      <c r="H83" s="20"/>
      <c r="I83" s="20" t="str">
        <f>VLOOKUP(B83,'[1]BILLING &amp; PAY SHEET'!$C$9:$H$109,6,0)</f>
        <v>05.01.1997</v>
      </c>
      <c r="J83" s="20" t="str">
        <f>VLOOKUP(B83,'[1]BILLING &amp; PAY SHEET'!$C$9:$I$109,7,0)</f>
        <v>04.03.2025</v>
      </c>
      <c r="K83" s="20" t="s">
        <v>67</v>
      </c>
      <c r="L83" s="20" t="s">
        <v>69</v>
      </c>
      <c r="M83" s="20" t="s">
        <v>539</v>
      </c>
      <c r="N83" s="4" t="s">
        <v>144</v>
      </c>
      <c r="O83" s="20" t="s">
        <v>542</v>
      </c>
      <c r="P83" s="20" t="s">
        <v>68</v>
      </c>
      <c r="Q83" s="23" t="s">
        <v>545</v>
      </c>
      <c r="R83" s="20" t="s">
        <v>46</v>
      </c>
      <c r="S83" s="20" t="s">
        <v>155</v>
      </c>
      <c r="T83" s="20" t="s">
        <v>43</v>
      </c>
      <c r="U83" s="20"/>
      <c r="V83" s="20" t="s">
        <v>620</v>
      </c>
      <c r="W83" s="24">
        <v>2504996730</v>
      </c>
      <c r="X83" s="20"/>
      <c r="Y83" s="23" t="e">
        <f>VLOOKUP(#REF!,[2]Sheet4!$C$2:$F$141,4,0)</f>
        <v>#REF!</v>
      </c>
      <c r="Z83" s="23">
        <v>559380383977</v>
      </c>
      <c r="AA83" s="20">
        <v>9011632685</v>
      </c>
      <c r="AB83" s="20" t="s">
        <v>1185</v>
      </c>
      <c r="AC83" s="20"/>
      <c r="AD83" s="20" t="s">
        <v>474</v>
      </c>
      <c r="AE83" s="20">
        <v>9011632685</v>
      </c>
      <c r="AF83" s="20"/>
      <c r="AG83" s="25" t="s">
        <v>740</v>
      </c>
      <c r="AH83" s="34" t="s">
        <v>781</v>
      </c>
      <c r="AI83" s="5" t="s">
        <v>799</v>
      </c>
      <c r="AJ83" s="20" t="s">
        <v>781</v>
      </c>
      <c r="AK83" s="25">
        <v>424304</v>
      </c>
      <c r="AL83" s="25" t="s">
        <v>740</v>
      </c>
      <c r="AM83" s="34" t="s">
        <v>781</v>
      </c>
      <c r="AN83" s="5" t="s">
        <v>799</v>
      </c>
      <c r="AO83" s="20" t="s">
        <v>781</v>
      </c>
      <c r="AP83" s="25">
        <v>424304</v>
      </c>
      <c r="AQ83" s="26" t="s">
        <v>843</v>
      </c>
      <c r="AR83" s="35" t="s">
        <v>879</v>
      </c>
      <c r="AS83" s="28" t="s">
        <v>917</v>
      </c>
      <c r="AT83" s="60" t="s">
        <v>328</v>
      </c>
    </row>
    <row r="84" spans="1:46" x14ac:dyDescent="0.25">
      <c r="A84" s="20">
        <v>79</v>
      </c>
      <c r="B84" s="21" t="s">
        <v>233</v>
      </c>
      <c r="C84" s="20" t="s">
        <v>50</v>
      </c>
      <c r="D84" s="22" t="s">
        <v>409</v>
      </c>
      <c r="E84" s="22" t="s">
        <v>475</v>
      </c>
      <c r="F84" s="22" t="s">
        <v>518</v>
      </c>
      <c r="G84" s="20" t="s">
        <v>64</v>
      </c>
      <c r="H84" s="20"/>
      <c r="I84" s="20" t="str">
        <f>VLOOKUP(B84,'[1]BILLING &amp; PAY SHEET'!$C$9:$H$109,6,0)</f>
        <v>03.01.1997</v>
      </c>
      <c r="J84" s="20" t="str">
        <f>VLOOKUP(B84,'[1]BILLING &amp; PAY SHEET'!$C$9:$I$109,7,0)</f>
        <v>04.03.2025</v>
      </c>
      <c r="K84" s="20" t="s">
        <v>67</v>
      </c>
      <c r="L84" s="20" t="s">
        <v>69</v>
      </c>
      <c r="M84" s="20" t="s">
        <v>539</v>
      </c>
      <c r="N84" s="4" t="s">
        <v>144</v>
      </c>
      <c r="O84" s="20" t="s">
        <v>542</v>
      </c>
      <c r="P84" s="20" t="s">
        <v>68</v>
      </c>
      <c r="Q84" s="23" t="s">
        <v>545</v>
      </c>
      <c r="R84" s="20" t="s">
        <v>46</v>
      </c>
      <c r="S84" s="20" t="s">
        <v>155</v>
      </c>
      <c r="T84" s="20" t="s">
        <v>43</v>
      </c>
      <c r="U84" s="20"/>
      <c r="V84" s="20" t="s">
        <v>621</v>
      </c>
      <c r="W84" s="24">
        <v>2504996724</v>
      </c>
      <c r="X84" s="20"/>
      <c r="Y84" s="23" t="e">
        <f>VLOOKUP(#REF!,[2]Sheet4!$C$2:$F$141,4,0)</f>
        <v>#REF!</v>
      </c>
      <c r="Z84" s="23">
        <v>545008061366</v>
      </c>
      <c r="AA84" s="20">
        <v>9673834029</v>
      </c>
      <c r="AB84" s="20" t="s">
        <v>1185</v>
      </c>
      <c r="AC84" s="20"/>
      <c r="AD84" s="20" t="s">
        <v>475</v>
      </c>
      <c r="AE84" s="20">
        <v>9673834029</v>
      </c>
      <c r="AF84" s="20"/>
      <c r="AG84" s="25" t="s">
        <v>704</v>
      </c>
      <c r="AH84" s="34" t="s">
        <v>761</v>
      </c>
      <c r="AI84" s="5" t="s">
        <v>799</v>
      </c>
      <c r="AJ84" s="20" t="s">
        <v>779</v>
      </c>
      <c r="AK84" s="20">
        <v>425408</v>
      </c>
      <c r="AL84" s="25" t="s">
        <v>704</v>
      </c>
      <c r="AM84" s="34" t="s">
        <v>761</v>
      </c>
      <c r="AN84" s="5" t="s">
        <v>799</v>
      </c>
      <c r="AO84" s="20" t="s">
        <v>779</v>
      </c>
      <c r="AP84" s="20">
        <v>425408</v>
      </c>
      <c r="AQ84" s="26" t="s">
        <v>844</v>
      </c>
      <c r="AR84" s="27" t="s">
        <v>880</v>
      </c>
      <c r="AS84" s="28" t="s">
        <v>918</v>
      </c>
      <c r="AT84" s="60" t="s">
        <v>329</v>
      </c>
    </row>
    <row r="85" spans="1:46" x14ac:dyDescent="0.25">
      <c r="A85" s="20">
        <v>80</v>
      </c>
      <c r="B85" s="21" t="s">
        <v>234</v>
      </c>
      <c r="C85" s="20" t="s">
        <v>50</v>
      </c>
      <c r="D85" s="22" t="s">
        <v>410</v>
      </c>
      <c r="E85" s="22" t="s">
        <v>476</v>
      </c>
      <c r="F85" s="22" t="s">
        <v>502</v>
      </c>
      <c r="G85" s="20" t="s">
        <v>64</v>
      </c>
      <c r="H85" s="20"/>
      <c r="I85" s="20" t="str">
        <f>VLOOKUP(B85,'[1]BILLING &amp; PAY SHEET'!$C$9:$H$109,6,0)</f>
        <v>02.06.1989</v>
      </c>
      <c r="J85" s="20" t="str">
        <f>VLOOKUP(B85,'[1]BILLING &amp; PAY SHEET'!$C$9:$I$109,7,0)</f>
        <v>04.03.2025</v>
      </c>
      <c r="K85" s="20" t="s">
        <v>67</v>
      </c>
      <c r="L85" s="20" t="s">
        <v>69</v>
      </c>
      <c r="M85" s="20" t="s">
        <v>539</v>
      </c>
      <c r="N85" s="4" t="s">
        <v>144</v>
      </c>
      <c r="O85" s="20" t="s">
        <v>542</v>
      </c>
      <c r="P85" s="20" t="s">
        <v>68</v>
      </c>
      <c r="Q85" s="23" t="s">
        <v>545</v>
      </c>
      <c r="R85" s="20" t="s">
        <v>46</v>
      </c>
      <c r="S85" s="20" t="s">
        <v>155</v>
      </c>
      <c r="T85" s="20" t="s">
        <v>43</v>
      </c>
      <c r="U85" s="20"/>
      <c r="V85" s="20" t="s">
        <v>622</v>
      </c>
      <c r="W85" s="24">
        <v>2504996729</v>
      </c>
      <c r="X85" s="20"/>
      <c r="Y85" s="23" t="e">
        <f>VLOOKUP(#REF!,[2]Sheet4!$C$2:$F$141,4,0)</f>
        <v>#REF!</v>
      </c>
      <c r="Z85" s="23">
        <v>877017438143</v>
      </c>
      <c r="AA85" s="20">
        <v>8432616466</v>
      </c>
      <c r="AB85" s="20" t="s">
        <v>1185</v>
      </c>
      <c r="AC85" s="20"/>
      <c r="AD85" s="20" t="s">
        <v>476</v>
      </c>
      <c r="AE85" s="20">
        <v>8432616466</v>
      </c>
      <c r="AF85" s="20"/>
      <c r="AG85" s="25" t="s">
        <v>741</v>
      </c>
      <c r="AH85" s="34" t="s">
        <v>943</v>
      </c>
      <c r="AI85" s="5" t="s">
        <v>799</v>
      </c>
      <c r="AJ85" s="20" t="s">
        <v>779</v>
      </c>
      <c r="AK85" s="20">
        <v>425411</v>
      </c>
      <c r="AL85" s="25" t="s">
        <v>741</v>
      </c>
      <c r="AM85" s="34" t="s">
        <v>943</v>
      </c>
      <c r="AN85" s="5" t="s">
        <v>799</v>
      </c>
      <c r="AO85" s="20" t="s">
        <v>779</v>
      </c>
      <c r="AP85" s="20">
        <v>425411</v>
      </c>
      <c r="AQ85" s="26" t="s">
        <v>842</v>
      </c>
      <c r="AR85" s="27" t="s">
        <v>881</v>
      </c>
      <c r="AS85" s="28" t="s">
        <v>900</v>
      </c>
      <c r="AT85" s="60" t="s">
        <v>330</v>
      </c>
    </row>
    <row r="86" spans="1:46" x14ac:dyDescent="0.25">
      <c r="A86" s="20">
        <v>81</v>
      </c>
      <c r="B86" s="21" t="s">
        <v>235</v>
      </c>
      <c r="C86" s="20" t="s">
        <v>50</v>
      </c>
      <c r="D86" s="22" t="s">
        <v>411</v>
      </c>
      <c r="E86" s="22" t="s">
        <v>477</v>
      </c>
      <c r="F86" s="22" t="s">
        <v>511</v>
      </c>
      <c r="G86" s="20" t="s">
        <v>64</v>
      </c>
      <c r="H86" s="20"/>
      <c r="I86" s="20" t="str">
        <f>VLOOKUP(B86,'[1]BILLING &amp; PAY SHEET'!$C$9:$H$109,6,0)</f>
        <v>12.02.1990</v>
      </c>
      <c r="J86" s="20" t="str">
        <f>VLOOKUP(B86,'[1]BILLING &amp; PAY SHEET'!$C$9:$I$109,7,0)</f>
        <v>04.03.2025</v>
      </c>
      <c r="K86" s="20" t="s">
        <v>67</v>
      </c>
      <c r="L86" s="20" t="s">
        <v>69</v>
      </c>
      <c r="M86" s="20" t="s">
        <v>539</v>
      </c>
      <c r="N86" s="4" t="s">
        <v>144</v>
      </c>
      <c r="O86" s="20" t="s">
        <v>542</v>
      </c>
      <c r="P86" s="20" t="s">
        <v>68</v>
      </c>
      <c r="Q86" s="23" t="s">
        <v>545</v>
      </c>
      <c r="R86" s="20" t="s">
        <v>46</v>
      </c>
      <c r="S86" s="20" t="s">
        <v>155</v>
      </c>
      <c r="T86" s="20" t="s">
        <v>43</v>
      </c>
      <c r="U86" s="20"/>
      <c r="V86" s="20" t="s">
        <v>623</v>
      </c>
      <c r="W86" s="24">
        <v>2504996841</v>
      </c>
      <c r="X86" s="20"/>
      <c r="Y86" s="23" t="e">
        <f>VLOOKUP(#REF!,[2]Sheet4!$C$2:$F$141,4,0)</f>
        <v>#REF!</v>
      </c>
      <c r="Z86" s="23">
        <v>540141636539</v>
      </c>
      <c r="AA86" s="20">
        <v>9359998377</v>
      </c>
      <c r="AB86" s="20" t="s">
        <v>1319</v>
      </c>
      <c r="AC86" s="20"/>
      <c r="AD86" s="20" t="s">
        <v>477</v>
      </c>
      <c r="AE86" s="20">
        <v>9359998377</v>
      </c>
      <c r="AF86" s="20"/>
      <c r="AG86" s="25" t="s">
        <v>742</v>
      </c>
      <c r="AH86" s="34" t="s">
        <v>944</v>
      </c>
      <c r="AI86" s="5" t="s">
        <v>799</v>
      </c>
      <c r="AJ86" s="20" t="s">
        <v>781</v>
      </c>
      <c r="AK86" s="20">
        <v>424310</v>
      </c>
      <c r="AL86" s="25" t="s">
        <v>742</v>
      </c>
      <c r="AM86" s="34" t="s">
        <v>944</v>
      </c>
      <c r="AN86" s="5" t="s">
        <v>799</v>
      </c>
      <c r="AO86" s="20" t="s">
        <v>781</v>
      </c>
      <c r="AP86" s="20">
        <v>424310</v>
      </c>
      <c r="AQ86" s="26" t="s">
        <v>841</v>
      </c>
      <c r="AR86" s="27" t="s">
        <v>882</v>
      </c>
      <c r="AS86" s="28" t="s">
        <v>919</v>
      </c>
      <c r="AT86" s="60" t="s">
        <v>331</v>
      </c>
    </row>
    <row r="87" spans="1:46" x14ac:dyDescent="0.25">
      <c r="A87" s="20">
        <v>82</v>
      </c>
      <c r="B87" s="21" t="s">
        <v>236</v>
      </c>
      <c r="C87" s="20" t="s">
        <v>50</v>
      </c>
      <c r="D87" s="22" t="s">
        <v>389</v>
      </c>
      <c r="E87" s="22" t="s">
        <v>1037</v>
      </c>
      <c r="F87" s="22" t="s">
        <v>518</v>
      </c>
      <c r="G87" s="20" t="s">
        <v>64</v>
      </c>
      <c r="H87" s="20"/>
      <c r="I87" s="20" t="str">
        <f>VLOOKUP(B87,'[1]BILLING &amp; PAY SHEET'!$C$9:$H$109,6,0)</f>
        <v>20.08.2005</v>
      </c>
      <c r="J87" s="20" t="str">
        <f>VLOOKUP(B87,'[1]BILLING &amp; PAY SHEET'!$C$9:$I$109,7,0)</f>
        <v>18.04.2025</v>
      </c>
      <c r="K87" s="20" t="s">
        <v>67</v>
      </c>
      <c r="L87" s="20" t="s">
        <v>69</v>
      </c>
      <c r="M87" s="20" t="s">
        <v>539</v>
      </c>
      <c r="N87" s="4" t="s">
        <v>144</v>
      </c>
      <c r="O87" s="20" t="s">
        <v>542</v>
      </c>
      <c r="P87" s="20" t="s">
        <v>68</v>
      </c>
      <c r="Q87" s="23" t="s">
        <v>545</v>
      </c>
      <c r="R87" s="20" t="s">
        <v>46</v>
      </c>
      <c r="S87" s="20" t="s">
        <v>155</v>
      </c>
      <c r="T87" s="20" t="s">
        <v>43</v>
      </c>
      <c r="U87" s="20"/>
      <c r="V87" s="20" t="s">
        <v>624</v>
      </c>
      <c r="W87" s="24">
        <v>2504996579</v>
      </c>
      <c r="X87" s="20"/>
      <c r="Y87" s="23" t="e">
        <f>VLOOKUP(#REF!,[2]Sheet4!$C$2:$F$141,4,0)</f>
        <v>#REF!</v>
      </c>
      <c r="Z87" s="23">
        <v>313798125940</v>
      </c>
      <c r="AA87" s="20">
        <v>7447890056</v>
      </c>
      <c r="AB87" s="20" t="s">
        <v>1319</v>
      </c>
      <c r="AC87" s="20"/>
      <c r="AD87" s="20" t="s">
        <v>1037</v>
      </c>
      <c r="AE87" s="20">
        <v>7447890056</v>
      </c>
      <c r="AF87" s="20"/>
      <c r="AG87" s="25" t="s">
        <v>704</v>
      </c>
      <c r="AH87" s="34" t="s">
        <v>761</v>
      </c>
      <c r="AI87" s="5" t="s">
        <v>799</v>
      </c>
      <c r="AJ87" s="20" t="s">
        <v>779</v>
      </c>
      <c r="AK87" s="20">
        <v>425408</v>
      </c>
      <c r="AL87" s="25" t="s">
        <v>704</v>
      </c>
      <c r="AM87" s="34" t="s">
        <v>761</v>
      </c>
      <c r="AN87" s="5" t="s">
        <v>799</v>
      </c>
      <c r="AO87" s="20" t="s">
        <v>779</v>
      </c>
      <c r="AP87" s="20">
        <v>425408</v>
      </c>
      <c r="AQ87" s="26" t="s">
        <v>839</v>
      </c>
      <c r="AR87" s="27" t="s">
        <v>883</v>
      </c>
      <c r="AS87" s="28" t="s">
        <v>894</v>
      </c>
      <c r="AT87" s="60" t="s">
        <v>332</v>
      </c>
    </row>
    <row r="88" spans="1:46" x14ac:dyDescent="0.25">
      <c r="A88" s="20">
        <v>83</v>
      </c>
      <c r="B88" s="21" t="s">
        <v>237</v>
      </c>
      <c r="C88" s="20" t="s">
        <v>50</v>
      </c>
      <c r="D88" s="22" t="s">
        <v>401</v>
      </c>
      <c r="E88" s="22" t="s">
        <v>401</v>
      </c>
      <c r="F88" s="22" t="s">
        <v>518</v>
      </c>
      <c r="G88" s="20" t="s">
        <v>64</v>
      </c>
      <c r="H88" s="20"/>
      <c r="I88" s="20" t="str">
        <f>VLOOKUP(B88,'[1]BILLING &amp; PAY SHEET'!$C$9:$H$109,6,0)</f>
        <v>22.11.2000</v>
      </c>
      <c r="J88" s="20" t="str">
        <f>VLOOKUP(B88,'[1]BILLING &amp; PAY SHEET'!$C$9:$I$109,7,0)</f>
        <v>18.04.2025</v>
      </c>
      <c r="K88" s="20" t="s">
        <v>67</v>
      </c>
      <c r="L88" s="20" t="s">
        <v>69</v>
      </c>
      <c r="M88" s="20" t="s">
        <v>539</v>
      </c>
      <c r="N88" s="4" t="s">
        <v>144</v>
      </c>
      <c r="O88" s="20" t="s">
        <v>542</v>
      </c>
      <c r="P88" s="20" t="s">
        <v>68</v>
      </c>
      <c r="Q88" s="23" t="s">
        <v>545</v>
      </c>
      <c r="R88" s="20" t="s">
        <v>46</v>
      </c>
      <c r="S88" s="20" t="s">
        <v>155</v>
      </c>
      <c r="T88" s="20" t="s">
        <v>43</v>
      </c>
      <c r="U88" s="20"/>
      <c r="V88" s="20" t="s">
        <v>625</v>
      </c>
      <c r="W88" s="24">
        <v>2505011212</v>
      </c>
      <c r="X88" s="20"/>
      <c r="Y88" s="23" t="e">
        <f>VLOOKUP(#REF!,[2]Sheet4!$C$2:$F$141,4,0)</f>
        <v>#REF!</v>
      </c>
      <c r="Z88" s="23">
        <v>344289481220</v>
      </c>
      <c r="AA88" s="20">
        <v>7447890056</v>
      </c>
      <c r="AB88" s="20" t="s">
        <v>1319</v>
      </c>
      <c r="AC88" s="20"/>
      <c r="AD88" s="20" t="s">
        <v>401</v>
      </c>
      <c r="AE88" s="20">
        <v>7447890056</v>
      </c>
      <c r="AF88" s="20"/>
      <c r="AG88" s="25" t="s">
        <v>704</v>
      </c>
      <c r="AH88" s="34" t="s">
        <v>761</v>
      </c>
      <c r="AI88" s="5" t="s">
        <v>799</v>
      </c>
      <c r="AJ88" s="20" t="s">
        <v>779</v>
      </c>
      <c r="AK88" s="20">
        <v>425408</v>
      </c>
      <c r="AL88" s="25" t="s">
        <v>704</v>
      </c>
      <c r="AM88" s="34" t="s">
        <v>761</v>
      </c>
      <c r="AN88" s="5" t="s">
        <v>799</v>
      </c>
      <c r="AO88" s="20" t="s">
        <v>779</v>
      </c>
      <c r="AP88" s="20">
        <v>425408</v>
      </c>
      <c r="AQ88" s="26" t="s">
        <v>844</v>
      </c>
      <c r="AR88" s="27" t="s">
        <v>884</v>
      </c>
      <c r="AS88" s="28" t="s">
        <v>920</v>
      </c>
      <c r="AT88" s="60" t="s">
        <v>333</v>
      </c>
    </row>
    <row r="89" spans="1:46" x14ac:dyDescent="0.25">
      <c r="A89" s="20">
        <v>84</v>
      </c>
      <c r="B89" s="21" t="s">
        <v>238</v>
      </c>
      <c r="C89" s="20" t="s">
        <v>50</v>
      </c>
      <c r="D89" s="22" t="s">
        <v>370</v>
      </c>
      <c r="E89" s="22" t="s">
        <v>478</v>
      </c>
      <c r="F89" s="22" t="s">
        <v>496</v>
      </c>
      <c r="G89" s="20" t="s">
        <v>64</v>
      </c>
      <c r="H89" s="20"/>
      <c r="I89" s="20" t="str">
        <f>VLOOKUP(B89,'[1]BILLING &amp; PAY SHEET'!$C$9:$H$109,6,0)</f>
        <v>01.06.1976</v>
      </c>
      <c r="J89" s="20" t="str">
        <f>VLOOKUP(B89,'[1]BILLING &amp; PAY SHEET'!$C$9:$I$109,7,0)</f>
        <v>20.04.2025</v>
      </c>
      <c r="K89" s="20" t="s">
        <v>67</v>
      </c>
      <c r="L89" s="20" t="s">
        <v>69</v>
      </c>
      <c r="M89" s="20" t="s">
        <v>96</v>
      </c>
      <c r="N89" s="4" t="s">
        <v>144</v>
      </c>
      <c r="O89" s="20" t="s">
        <v>542</v>
      </c>
      <c r="P89" s="20" t="s">
        <v>68</v>
      </c>
      <c r="Q89" s="23" t="s">
        <v>545</v>
      </c>
      <c r="R89" s="20" t="s">
        <v>46</v>
      </c>
      <c r="S89" s="20" t="s">
        <v>155</v>
      </c>
      <c r="T89" s="20" t="s">
        <v>43</v>
      </c>
      <c r="U89" s="20"/>
      <c r="V89" s="20" t="s">
        <v>626</v>
      </c>
      <c r="W89" s="24">
        <v>2503231668</v>
      </c>
      <c r="X89" s="20"/>
      <c r="Y89" s="23" t="e">
        <f>VLOOKUP(#REF!,[2]Sheet4!$C$2:$F$141,4,0)</f>
        <v>#REF!</v>
      </c>
      <c r="Z89" s="23">
        <v>884307443782</v>
      </c>
      <c r="AA89" s="28">
        <v>8806325792</v>
      </c>
      <c r="AB89" s="20" t="s">
        <v>1185</v>
      </c>
      <c r="AC89" s="20"/>
      <c r="AD89" s="20" t="s">
        <v>478</v>
      </c>
      <c r="AE89" s="28">
        <v>8806325792</v>
      </c>
      <c r="AF89" s="20"/>
      <c r="AG89" s="36" t="s">
        <v>743</v>
      </c>
      <c r="AH89" s="34" t="s">
        <v>786</v>
      </c>
      <c r="AI89" s="5" t="s">
        <v>799</v>
      </c>
      <c r="AJ89" s="20" t="s">
        <v>779</v>
      </c>
      <c r="AK89" s="20">
        <v>425412</v>
      </c>
      <c r="AL89" s="36" t="s">
        <v>743</v>
      </c>
      <c r="AM89" s="34" t="s">
        <v>786</v>
      </c>
      <c r="AN89" s="5" t="s">
        <v>799</v>
      </c>
      <c r="AO89" s="20" t="s">
        <v>779</v>
      </c>
      <c r="AP89" s="20">
        <v>425412</v>
      </c>
      <c r="AQ89" s="28" t="s">
        <v>844</v>
      </c>
      <c r="AR89" s="37" t="s">
        <v>885</v>
      </c>
      <c r="AS89" s="28" t="s">
        <v>921</v>
      </c>
      <c r="AT89" s="22" t="s">
        <v>334</v>
      </c>
    </row>
    <row r="90" spans="1:46" x14ac:dyDescent="0.25">
      <c r="A90" s="20">
        <v>85</v>
      </c>
      <c r="B90" s="21" t="s">
        <v>239</v>
      </c>
      <c r="C90" s="20" t="s">
        <v>50</v>
      </c>
      <c r="D90" s="22" t="s">
        <v>412</v>
      </c>
      <c r="E90" s="22" t="s">
        <v>422</v>
      </c>
      <c r="F90" s="22" t="s">
        <v>524</v>
      </c>
      <c r="G90" s="20" t="s">
        <v>64</v>
      </c>
      <c r="H90" s="20"/>
      <c r="I90" s="20" t="str">
        <f>VLOOKUP(B90,'[1]BILLING &amp; PAY SHEET'!$C$9:$H$109,6,0)</f>
        <v>20.03.1995</v>
      </c>
      <c r="J90" s="20" t="str">
        <f>VLOOKUP(B90,'[1]BILLING &amp; PAY SHEET'!$C$9:$I$109,7,0)</f>
        <v>15.05.2025</v>
      </c>
      <c r="K90" s="20" t="s">
        <v>67</v>
      </c>
      <c r="L90" s="20" t="s">
        <v>69</v>
      </c>
      <c r="M90" s="20" t="s">
        <v>539</v>
      </c>
      <c r="N90" s="4" t="s">
        <v>144</v>
      </c>
      <c r="O90" s="20" t="s">
        <v>542</v>
      </c>
      <c r="P90" s="20" t="s">
        <v>68</v>
      </c>
      <c r="Q90" s="23" t="s">
        <v>545</v>
      </c>
      <c r="R90" s="20" t="s">
        <v>46</v>
      </c>
      <c r="S90" s="20" t="s">
        <v>155</v>
      </c>
      <c r="T90" s="20" t="s">
        <v>43</v>
      </c>
      <c r="U90" s="20"/>
      <c r="V90" s="20" t="s">
        <v>627</v>
      </c>
      <c r="W90" s="24">
        <v>2504996751</v>
      </c>
      <c r="X90" s="20"/>
      <c r="Y90" s="23" t="e">
        <f>VLOOKUP(#REF!,[2]Sheet4!$C$2:$F$141,4,0)</f>
        <v>#REF!</v>
      </c>
      <c r="Z90" s="23">
        <v>752032060541</v>
      </c>
      <c r="AA90" s="28">
        <v>7798001595</v>
      </c>
      <c r="AB90" s="20" t="s">
        <v>1185</v>
      </c>
      <c r="AC90" s="20"/>
      <c r="AD90" s="20" t="s">
        <v>422</v>
      </c>
      <c r="AE90" s="28">
        <v>7798001595</v>
      </c>
      <c r="AF90" s="20"/>
      <c r="AG90" s="36" t="s">
        <v>945</v>
      </c>
      <c r="AH90" s="34" t="s">
        <v>726</v>
      </c>
      <c r="AI90" s="5" t="s">
        <v>799</v>
      </c>
      <c r="AJ90" s="20" t="s">
        <v>781</v>
      </c>
      <c r="AK90" s="33">
        <v>424305</v>
      </c>
      <c r="AL90" s="36" t="s">
        <v>945</v>
      </c>
      <c r="AM90" s="34" t="s">
        <v>726</v>
      </c>
      <c r="AN90" s="5" t="s">
        <v>799</v>
      </c>
      <c r="AO90" s="20" t="s">
        <v>781</v>
      </c>
      <c r="AP90" s="33">
        <v>424305</v>
      </c>
      <c r="AQ90" s="28" t="s">
        <v>850</v>
      </c>
      <c r="AR90" s="37" t="s">
        <v>886</v>
      </c>
      <c r="AS90" s="28" t="s">
        <v>922</v>
      </c>
      <c r="AT90" s="22" t="s">
        <v>335</v>
      </c>
    </row>
    <row r="91" spans="1:46" x14ac:dyDescent="0.25">
      <c r="A91" s="20">
        <v>86</v>
      </c>
      <c r="B91" s="21" t="s">
        <v>240</v>
      </c>
      <c r="C91" s="20" t="s">
        <v>50</v>
      </c>
      <c r="D91" s="22" t="s">
        <v>351</v>
      </c>
      <c r="E91" s="22" t="s">
        <v>458</v>
      </c>
      <c r="F91" s="22" t="s">
        <v>501</v>
      </c>
      <c r="G91" s="20" t="s">
        <v>64</v>
      </c>
      <c r="H91" s="20"/>
      <c r="I91" s="20" t="str">
        <f>VLOOKUP(B91,'[1]BILLING &amp; PAY SHEET'!$C$9:$H$109,6,0)</f>
        <v>23.10.2003</v>
      </c>
      <c r="J91" s="20" t="str">
        <f>VLOOKUP(B91,'[1]BILLING &amp; PAY SHEET'!$C$9:$I$109,7,0)</f>
        <v>15.05.2025</v>
      </c>
      <c r="K91" s="20" t="s">
        <v>67</v>
      </c>
      <c r="L91" s="20" t="s">
        <v>69</v>
      </c>
      <c r="M91" s="20" t="s">
        <v>539</v>
      </c>
      <c r="N91" s="4" t="s">
        <v>144</v>
      </c>
      <c r="O91" s="20" t="s">
        <v>542</v>
      </c>
      <c r="P91" s="20" t="s">
        <v>68</v>
      </c>
      <c r="Q91" s="23" t="s">
        <v>545</v>
      </c>
      <c r="R91" s="20" t="s">
        <v>46</v>
      </c>
      <c r="S91" s="20" t="s">
        <v>155</v>
      </c>
      <c r="T91" s="20" t="s">
        <v>43</v>
      </c>
      <c r="U91" s="20"/>
      <c r="V91" s="20" t="s">
        <v>628</v>
      </c>
      <c r="W91" s="24">
        <v>2504996770</v>
      </c>
      <c r="X91" s="20"/>
      <c r="Y91" s="23" t="e">
        <f>VLOOKUP(#REF!,[2]Sheet4!$C$2:$F$141,4,0)</f>
        <v>#REF!</v>
      </c>
      <c r="Z91" s="23">
        <v>227821417000</v>
      </c>
      <c r="AA91" s="28">
        <v>7798001595</v>
      </c>
      <c r="AB91" s="20" t="s">
        <v>1319</v>
      </c>
      <c r="AC91" s="20"/>
      <c r="AD91" s="20" t="s">
        <v>458</v>
      </c>
      <c r="AE91" s="28">
        <v>7798001595</v>
      </c>
      <c r="AF91" s="20"/>
      <c r="AG91" s="36" t="s">
        <v>744</v>
      </c>
      <c r="AH91" s="34" t="s">
        <v>946</v>
      </c>
      <c r="AI91" s="5" t="s">
        <v>799</v>
      </c>
      <c r="AJ91" s="20" t="s">
        <v>781</v>
      </c>
      <c r="AK91" s="20">
        <v>425408</v>
      </c>
      <c r="AL91" s="36" t="s">
        <v>744</v>
      </c>
      <c r="AM91" s="34" t="s">
        <v>946</v>
      </c>
      <c r="AN91" s="5" t="s">
        <v>799</v>
      </c>
      <c r="AO91" s="20" t="s">
        <v>781</v>
      </c>
      <c r="AP91" s="20">
        <v>425408</v>
      </c>
      <c r="AQ91" s="28" t="s">
        <v>851</v>
      </c>
      <c r="AR91" s="30">
        <v>43000313242</v>
      </c>
      <c r="AS91" s="28" t="s">
        <v>895</v>
      </c>
      <c r="AT91" s="22" t="s">
        <v>336</v>
      </c>
    </row>
    <row r="92" spans="1:46" x14ac:dyDescent="0.25">
      <c r="A92" s="20">
        <v>87</v>
      </c>
      <c r="B92" s="21" t="s">
        <v>241</v>
      </c>
      <c r="C92" s="20" t="s">
        <v>50</v>
      </c>
      <c r="D92" s="22" t="s">
        <v>413</v>
      </c>
      <c r="E92" s="22" t="s">
        <v>479</v>
      </c>
      <c r="F92" s="22" t="s">
        <v>488</v>
      </c>
      <c r="G92" s="20" t="s">
        <v>64</v>
      </c>
      <c r="H92" s="20"/>
      <c r="I92" s="20" t="str">
        <f>VLOOKUP(B92,'[1]BILLING &amp; PAY SHEET'!$C$9:$H$109,6,0)</f>
        <v>19.10.2002</v>
      </c>
      <c r="J92" s="20" t="str">
        <f>VLOOKUP(B92,'[1]BILLING &amp; PAY SHEET'!$C$9:$I$109,7,0)</f>
        <v>15.05.2025</v>
      </c>
      <c r="K92" s="20" t="s">
        <v>67</v>
      </c>
      <c r="L92" s="20" t="s">
        <v>69</v>
      </c>
      <c r="M92" s="20" t="s">
        <v>539</v>
      </c>
      <c r="N92" s="4" t="s">
        <v>144</v>
      </c>
      <c r="O92" s="20" t="s">
        <v>542</v>
      </c>
      <c r="P92" s="20" t="s">
        <v>68</v>
      </c>
      <c r="Q92" s="23" t="s">
        <v>545</v>
      </c>
      <c r="R92" s="20" t="s">
        <v>46</v>
      </c>
      <c r="S92" s="20" t="s">
        <v>155</v>
      </c>
      <c r="T92" s="20" t="s">
        <v>43</v>
      </c>
      <c r="U92" s="20"/>
      <c r="V92" s="20" t="s">
        <v>629</v>
      </c>
      <c r="W92" s="24">
        <v>2504996778</v>
      </c>
      <c r="X92" s="20"/>
      <c r="Y92" s="23" t="e">
        <f>VLOOKUP(#REF!,[2]Sheet4!$C$2:$F$141,4,0)</f>
        <v>#REF!</v>
      </c>
      <c r="Z92" s="23">
        <v>594101007421</v>
      </c>
      <c r="AA92" s="28">
        <v>7066050311</v>
      </c>
      <c r="AB92" s="20" t="s">
        <v>1319</v>
      </c>
      <c r="AC92" s="20"/>
      <c r="AD92" s="20" t="s">
        <v>479</v>
      </c>
      <c r="AE92" s="28">
        <v>7066050311</v>
      </c>
      <c r="AF92" s="20"/>
      <c r="AG92" s="36" t="s">
        <v>704</v>
      </c>
      <c r="AH92" s="34" t="s">
        <v>761</v>
      </c>
      <c r="AI92" s="5" t="s">
        <v>799</v>
      </c>
      <c r="AJ92" s="20" t="s">
        <v>779</v>
      </c>
      <c r="AK92" s="20">
        <v>425408</v>
      </c>
      <c r="AL92" s="36" t="s">
        <v>704</v>
      </c>
      <c r="AM92" s="34" t="s">
        <v>761</v>
      </c>
      <c r="AN92" s="5" t="s">
        <v>799</v>
      </c>
      <c r="AO92" s="20" t="s">
        <v>779</v>
      </c>
      <c r="AP92" s="20">
        <v>425408</v>
      </c>
      <c r="AQ92" s="28" t="s">
        <v>852</v>
      </c>
      <c r="AR92" s="30">
        <v>80022435088</v>
      </c>
      <c r="AS92" s="28" t="s">
        <v>894</v>
      </c>
      <c r="AT92" s="22" t="s">
        <v>337</v>
      </c>
    </row>
    <row r="93" spans="1:46" x14ac:dyDescent="0.25">
      <c r="A93" s="20">
        <v>88</v>
      </c>
      <c r="B93" s="21" t="s">
        <v>242</v>
      </c>
      <c r="C93" s="20" t="s">
        <v>50</v>
      </c>
      <c r="D93" s="22" t="s">
        <v>414</v>
      </c>
      <c r="E93" s="22" t="s">
        <v>480</v>
      </c>
      <c r="F93" s="22" t="s">
        <v>534</v>
      </c>
      <c r="G93" s="20" t="s">
        <v>64</v>
      </c>
      <c r="H93" s="20"/>
      <c r="I93" s="20" t="str">
        <f>VLOOKUP(B93,'[1]BILLING &amp; PAY SHEET'!$C$9:$H$109,6,0)</f>
        <v>30.07.2000</v>
      </c>
      <c r="J93" s="20" t="str">
        <f>VLOOKUP(B93,'[1]BILLING &amp; PAY SHEET'!$C$9:$I$109,7,0)</f>
        <v>15.05.2025</v>
      </c>
      <c r="K93" s="20" t="s">
        <v>67</v>
      </c>
      <c r="L93" s="20" t="s">
        <v>69</v>
      </c>
      <c r="M93" s="20" t="s">
        <v>539</v>
      </c>
      <c r="N93" s="4" t="s">
        <v>144</v>
      </c>
      <c r="O93" s="20" t="s">
        <v>542</v>
      </c>
      <c r="P93" s="20" t="s">
        <v>68</v>
      </c>
      <c r="Q93" s="23" t="s">
        <v>545</v>
      </c>
      <c r="R93" s="20" t="s">
        <v>46</v>
      </c>
      <c r="S93" s="20" t="s">
        <v>155</v>
      </c>
      <c r="T93" s="20" t="s">
        <v>43</v>
      </c>
      <c r="U93" s="20"/>
      <c r="V93" s="20" t="s">
        <v>630</v>
      </c>
      <c r="W93" s="24">
        <v>2504996828</v>
      </c>
      <c r="X93" s="20"/>
      <c r="Y93" s="23" t="e">
        <f>VLOOKUP(#REF!,[2]Sheet4!$C$2:$F$141,4,0)</f>
        <v>#REF!</v>
      </c>
      <c r="Z93" s="23">
        <v>417548762044</v>
      </c>
      <c r="AA93" s="28">
        <v>9307208791</v>
      </c>
      <c r="AB93" s="20" t="s">
        <v>1185</v>
      </c>
      <c r="AC93" s="20"/>
      <c r="AD93" s="20" t="s">
        <v>480</v>
      </c>
      <c r="AE93" s="28">
        <v>9307208791</v>
      </c>
      <c r="AF93" s="20"/>
      <c r="AG93" s="36" t="s">
        <v>745</v>
      </c>
      <c r="AH93" s="34" t="s">
        <v>947</v>
      </c>
      <c r="AI93" s="5" t="s">
        <v>799</v>
      </c>
      <c r="AJ93" s="20" t="s">
        <v>781</v>
      </c>
      <c r="AK93" s="20">
        <v>424305</v>
      </c>
      <c r="AL93" s="36" t="s">
        <v>745</v>
      </c>
      <c r="AM93" s="34" t="s">
        <v>947</v>
      </c>
      <c r="AN93" s="5" t="s">
        <v>799</v>
      </c>
      <c r="AO93" s="20" t="s">
        <v>781</v>
      </c>
      <c r="AP93" s="20">
        <v>424305</v>
      </c>
      <c r="AQ93" s="28" t="s">
        <v>850</v>
      </c>
      <c r="AR93" s="37" t="s">
        <v>887</v>
      </c>
      <c r="AS93" s="28" t="s">
        <v>922</v>
      </c>
      <c r="AT93" s="22" t="s">
        <v>338</v>
      </c>
    </row>
    <row r="94" spans="1:46" x14ac:dyDescent="0.25">
      <c r="A94" s="20">
        <v>89</v>
      </c>
      <c r="B94" s="21" t="s">
        <v>243</v>
      </c>
      <c r="C94" s="20" t="s">
        <v>50</v>
      </c>
      <c r="D94" s="22" t="s">
        <v>415</v>
      </c>
      <c r="E94" s="22" t="s">
        <v>481</v>
      </c>
      <c r="F94" s="22" t="s">
        <v>535</v>
      </c>
      <c r="G94" s="20" t="s">
        <v>64</v>
      </c>
      <c r="H94" s="20"/>
      <c r="I94" s="20" t="str">
        <f>VLOOKUP(B94,'[1]BILLING &amp; PAY SHEET'!$C$9:$H$109,6,0)</f>
        <v>22.11.1997</v>
      </c>
      <c r="J94" s="20" t="str">
        <f>VLOOKUP(B94,'[1]BILLING &amp; PAY SHEET'!$C$9:$I$109,7,0)</f>
        <v>15.05.2025</v>
      </c>
      <c r="K94" s="20" t="s">
        <v>67</v>
      </c>
      <c r="L94" s="20" t="s">
        <v>69</v>
      </c>
      <c r="M94" s="20" t="s">
        <v>539</v>
      </c>
      <c r="N94" s="4" t="s">
        <v>144</v>
      </c>
      <c r="O94" s="20" t="s">
        <v>542</v>
      </c>
      <c r="P94" s="20" t="s">
        <v>68</v>
      </c>
      <c r="Q94" s="23" t="s">
        <v>545</v>
      </c>
      <c r="R94" s="20" t="s">
        <v>46</v>
      </c>
      <c r="S94" s="20" t="s">
        <v>155</v>
      </c>
      <c r="T94" s="20" t="s">
        <v>43</v>
      </c>
      <c r="U94" s="20"/>
      <c r="V94" s="20" t="s">
        <v>631</v>
      </c>
      <c r="W94" s="24">
        <v>2504996741</v>
      </c>
      <c r="X94" s="20"/>
      <c r="Y94" s="23" t="e">
        <f>VLOOKUP(#REF!,[2]Sheet4!$C$2:$F$141,4,0)</f>
        <v>#REF!</v>
      </c>
      <c r="Z94" s="23">
        <v>601260852239</v>
      </c>
      <c r="AA94" s="28">
        <v>9503390507</v>
      </c>
      <c r="AB94" s="20" t="s">
        <v>1319</v>
      </c>
      <c r="AC94" s="20"/>
      <c r="AD94" s="20" t="s">
        <v>481</v>
      </c>
      <c r="AE94" s="28">
        <v>9503390507</v>
      </c>
      <c r="AF94" s="20"/>
      <c r="AG94" s="36" t="s">
        <v>746</v>
      </c>
      <c r="AH94" s="20" t="s">
        <v>758</v>
      </c>
      <c r="AI94" s="5" t="s">
        <v>799</v>
      </c>
      <c r="AJ94" s="20" t="s">
        <v>781</v>
      </c>
      <c r="AK94" s="20">
        <v>424305</v>
      </c>
      <c r="AL94" s="36" t="s">
        <v>746</v>
      </c>
      <c r="AM94" s="20" t="s">
        <v>758</v>
      </c>
      <c r="AN94" s="5" t="s">
        <v>799</v>
      </c>
      <c r="AO94" s="20" t="s">
        <v>781</v>
      </c>
      <c r="AP94" s="20">
        <v>424305</v>
      </c>
      <c r="AQ94" s="28" t="s">
        <v>853</v>
      </c>
      <c r="AR94" s="37" t="s">
        <v>888</v>
      </c>
      <c r="AS94" s="28" t="s">
        <v>923</v>
      </c>
      <c r="AT94" s="22" t="s">
        <v>339</v>
      </c>
    </row>
    <row r="95" spans="1:46" x14ac:dyDescent="0.25">
      <c r="A95" s="20">
        <v>90</v>
      </c>
      <c r="B95" s="21" t="s">
        <v>244</v>
      </c>
      <c r="C95" s="20" t="s">
        <v>50</v>
      </c>
      <c r="D95" s="22" t="s">
        <v>416</v>
      </c>
      <c r="E95" s="22" t="s">
        <v>482</v>
      </c>
      <c r="F95" s="22" t="s">
        <v>505</v>
      </c>
      <c r="G95" s="20" t="s">
        <v>64</v>
      </c>
      <c r="H95" s="20"/>
      <c r="I95" s="20" t="str">
        <f>VLOOKUP(B95,'[1]BILLING &amp; PAY SHEET'!$C$9:$H$109,6,0)</f>
        <v>4.04.1999</v>
      </c>
      <c r="J95" s="20" t="str">
        <f>VLOOKUP(B95,'[1]BILLING &amp; PAY SHEET'!$C$9:$I$109,7,0)</f>
        <v>15.05.2025</v>
      </c>
      <c r="K95" s="20" t="s">
        <v>67</v>
      </c>
      <c r="L95" s="20" t="s">
        <v>69</v>
      </c>
      <c r="M95" s="20" t="s">
        <v>539</v>
      </c>
      <c r="N95" s="4" t="s">
        <v>144</v>
      </c>
      <c r="O95" s="20" t="s">
        <v>542</v>
      </c>
      <c r="P95" s="20" t="s">
        <v>68</v>
      </c>
      <c r="Q95" s="23" t="s">
        <v>545</v>
      </c>
      <c r="R95" s="20" t="s">
        <v>46</v>
      </c>
      <c r="S95" s="20" t="s">
        <v>155</v>
      </c>
      <c r="T95" s="20" t="s">
        <v>43</v>
      </c>
      <c r="U95" s="20"/>
      <c r="V95" s="20" t="s">
        <v>632</v>
      </c>
      <c r="W95" s="24">
        <v>2504996761</v>
      </c>
      <c r="X95" s="20"/>
      <c r="Y95" s="23" t="e">
        <f>VLOOKUP(#REF!,[2]Sheet4!$C$2:$F$141,4,0)</f>
        <v>#REF!</v>
      </c>
      <c r="Z95" s="23">
        <v>844780266170</v>
      </c>
      <c r="AA95" s="28">
        <v>7264096730</v>
      </c>
      <c r="AB95" s="20" t="s">
        <v>1319</v>
      </c>
      <c r="AC95" s="20"/>
      <c r="AD95" s="20" t="s">
        <v>482</v>
      </c>
      <c r="AE95" s="28">
        <v>7264096730</v>
      </c>
      <c r="AF95" s="20"/>
      <c r="AG95" s="36" t="s">
        <v>747</v>
      </c>
      <c r="AH95" s="20" t="s">
        <v>758</v>
      </c>
      <c r="AI95" s="5" t="s">
        <v>799</v>
      </c>
      <c r="AJ95" s="20" t="s">
        <v>781</v>
      </c>
      <c r="AK95" s="20">
        <v>425407</v>
      </c>
      <c r="AL95" s="36" t="s">
        <v>747</v>
      </c>
      <c r="AM95" s="20" t="s">
        <v>758</v>
      </c>
      <c r="AN95" s="5" t="s">
        <v>799</v>
      </c>
      <c r="AO95" s="20" t="s">
        <v>781</v>
      </c>
      <c r="AP95" s="20">
        <v>425407</v>
      </c>
      <c r="AQ95" s="28" t="s">
        <v>851</v>
      </c>
      <c r="AR95" s="30">
        <v>37348990351</v>
      </c>
      <c r="AS95" s="28" t="s">
        <v>898</v>
      </c>
      <c r="AT95" s="22" t="s">
        <v>340</v>
      </c>
    </row>
    <row r="96" spans="1:46" x14ac:dyDescent="0.25">
      <c r="A96" s="20">
        <v>91</v>
      </c>
      <c r="B96" s="21" t="s">
        <v>245</v>
      </c>
      <c r="C96" s="20" t="s">
        <v>50</v>
      </c>
      <c r="D96" s="22" t="s">
        <v>417</v>
      </c>
      <c r="E96" s="22" t="s">
        <v>483</v>
      </c>
      <c r="F96" s="22" t="s">
        <v>521</v>
      </c>
      <c r="G96" s="20" t="s">
        <v>64</v>
      </c>
      <c r="H96" s="20"/>
      <c r="I96" s="20" t="str">
        <f>VLOOKUP(B96,'[1]BILLING &amp; PAY SHEET'!$C$9:$H$109,6,0)</f>
        <v>30.06.1993</v>
      </c>
      <c r="J96" s="20" t="str">
        <f>VLOOKUP(B96,'[1]BILLING &amp; PAY SHEET'!$C$9:$I$109,7,0)</f>
        <v>29.05.2025</v>
      </c>
      <c r="K96" s="20" t="s">
        <v>67</v>
      </c>
      <c r="L96" s="20" t="s">
        <v>69</v>
      </c>
      <c r="M96" s="20" t="s">
        <v>539</v>
      </c>
      <c r="N96" s="4" t="s">
        <v>144</v>
      </c>
      <c r="O96" s="20" t="s">
        <v>542</v>
      </c>
      <c r="P96" s="20" t="s">
        <v>68</v>
      </c>
      <c r="Q96" s="23" t="s">
        <v>545</v>
      </c>
      <c r="R96" s="20" t="s">
        <v>46</v>
      </c>
      <c r="S96" s="20" t="s">
        <v>155</v>
      </c>
      <c r="T96" s="20" t="s">
        <v>43</v>
      </c>
      <c r="U96" s="20"/>
      <c r="V96" s="38" t="s">
        <v>633</v>
      </c>
      <c r="W96" s="24">
        <v>2505090547</v>
      </c>
      <c r="X96" s="20"/>
      <c r="Y96" s="23" t="e">
        <f>VLOOKUP(#REF!,[2]Sheet4!$C$2:$F$141,4,0)</f>
        <v>#REF!</v>
      </c>
      <c r="Z96" s="23">
        <v>945406942088</v>
      </c>
      <c r="AA96" s="28">
        <v>9428790097</v>
      </c>
      <c r="AB96" s="20" t="s">
        <v>1319</v>
      </c>
      <c r="AC96" s="20"/>
      <c r="AD96" s="20" t="s">
        <v>483</v>
      </c>
      <c r="AE96" s="28">
        <v>9428790097</v>
      </c>
      <c r="AF96" s="20"/>
      <c r="AG96" s="36" t="s">
        <v>748</v>
      </c>
      <c r="AH96" s="20" t="s">
        <v>758</v>
      </c>
      <c r="AI96" s="5" t="s">
        <v>799</v>
      </c>
      <c r="AJ96" s="20" t="s">
        <v>781</v>
      </c>
      <c r="AK96" s="20">
        <v>424305</v>
      </c>
      <c r="AL96" s="36" t="s">
        <v>748</v>
      </c>
      <c r="AM96" s="20" t="s">
        <v>758</v>
      </c>
      <c r="AN96" s="5" t="s">
        <v>799</v>
      </c>
      <c r="AO96" s="20" t="s">
        <v>781</v>
      </c>
      <c r="AP96" s="20">
        <v>424305</v>
      </c>
      <c r="AQ96" s="28" t="s">
        <v>840</v>
      </c>
      <c r="AR96" s="37" t="s">
        <v>889</v>
      </c>
      <c r="AS96" s="28" t="s">
        <v>898</v>
      </c>
      <c r="AT96" s="22" t="s">
        <v>341</v>
      </c>
    </row>
    <row r="97" spans="1:46" x14ac:dyDescent="0.25">
      <c r="A97" s="20">
        <v>92</v>
      </c>
      <c r="B97" s="21" t="s">
        <v>246</v>
      </c>
      <c r="C97" s="20" t="s">
        <v>50</v>
      </c>
      <c r="D97" s="22" t="s">
        <v>418</v>
      </c>
      <c r="E97" s="22" t="s">
        <v>480</v>
      </c>
      <c r="F97" s="22" t="s">
        <v>505</v>
      </c>
      <c r="G97" s="20" t="s">
        <v>64</v>
      </c>
      <c r="H97" s="20"/>
      <c r="I97" s="20" t="s">
        <v>1019</v>
      </c>
      <c r="J97" s="20" t="str">
        <f>VLOOKUP(B97,'[1]BILLING &amp; PAY SHEET'!$C$9:$I$109,7,0)</f>
        <v>29.05.2025</v>
      </c>
      <c r="K97" s="20" t="s">
        <v>67</v>
      </c>
      <c r="L97" s="20" t="s">
        <v>69</v>
      </c>
      <c r="M97" s="20" t="s">
        <v>539</v>
      </c>
      <c r="N97" s="4" t="s">
        <v>144</v>
      </c>
      <c r="O97" s="20" t="s">
        <v>542</v>
      </c>
      <c r="P97" s="20" t="s">
        <v>68</v>
      </c>
      <c r="Q97" s="23" t="s">
        <v>545</v>
      </c>
      <c r="R97" s="20" t="s">
        <v>46</v>
      </c>
      <c r="S97" s="20" t="s">
        <v>155</v>
      </c>
      <c r="T97" s="20" t="s">
        <v>43</v>
      </c>
      <c r="U97" s="20"/>
      <c r="V97" s="38" t="s">
        <v>634</v>
      </c>
      <c r="W97" s="24" t="s">
        <v>680</v>
      </c>
      <c r="X97" s="20"/>
      <c r="Y97" s="23" t="e">
        <f>VLOOKUP(#REF!,[2]Sheet4!$C$2:$F$141,4,0)</f>
        <v>#REF!</v>
      </c>
      <c r="Z97" s="23">
        <v>505017337790</v>
      </c>
      <c r="AA97" s="28">
        <v>9373159579</v>
      </c>
      <c r="AB97" s="20" t="s">
        <v>1319</v>
      </c>
      <c r="AC97" s="20"/>
      <c r="AD97" s="20" t="s">
        <v>480</v>
      </c>
      <c r="AE97" s="28">
        <v>9373159579</v>
      </c>
      <c r="AF97" s="20"/>
      <c r="AG97" s="36" t="s">
        <v>749</v>
      </c>
      <c r="AH97" s="20" t="s">
        <v>758</v>
      </c>
      <c r="AI97" s="5" t="s">
        <v>799</v>
      </c>
      <c r="AJ97" s="20" t="s">
        <v>781</v>
      </c>
      <c r="AK97" s="20">
        <v>424304</v>
      </c>
      <c r="AL97" s="36" t="s">
        <v>749</v>
      </c>
      <c r="AM97" s="20" t="s">
        <v>758</v>
      </c>
      <c r="AN97" s="5" t="s">
        <v>799</v>
      </c>
      <c r="AO97" s="20" t="s">
        <v>781</v>
      </c>
      <c r="AP97" s="20">
        <v>424304</v>
      </c>
      <c r="AQ97" s="28" t="s">
        <v>841</v>
      </c>
      <c r="AR97" s="37" t="s">
        <v>890</v>
      </c>
      <c r="AS97" s="28" t="s">
        <v>924</v>
      </c>
      <c r="AT97" s="22" t="s">
        <v>342</v>
      </c>
    </row>
    <row r="98" spans="1:46" x14ac:dyDescent="0.25">
      <c r="A98" s="20">
        <v>93</v>
      </c>
      <c r="B98" s="21" t="s">
        <v>247</v>
      </c>
      <c r="C98" s="20" t="s">
        <v>50</v>
      </c>
      <c r="D98" s="22" t="s">
        <v>399</v>
      </c>
      <c r="E98" s="22" t="s">
        <v>484</v>
      </c>
      <c r="F98" s="22" t="s">
        <v>521</v>
      </c>
      <c r="G98" s="20" t="s">
        <v>64</v>
      </c>
      <c r="H98" s="20"/>
      <c r="I98" s="20" t="str">
        <f>VLOOKUP(B98,'[1]BILLING &amp; PAY SHEET'!$C$9:$H$109,6,0)</f>
        <v>02.05.2002</v>
      </c>
      <c r="J98" s="20" t="str">
        <f>VLOOKUP(B98,'[1]BILLING &amp; PAY SHEET'!$C$9:$I$109,7,0)</f>
        <v>29.05.2025</v>
      </c>
      <c r="K98" s="20" t="s">
        <v>67</v>
      </c>
      <c r="L98" s="20" t="s">
        <v>69</v>
      </c>
      <c r="M98" s="20" t="s">
        <v>539</v>
      </c>
      <c r="N98" s="4" t="s">
        <v>144</v>
      </c>
      <c r="O98" s="20" t="s">
        <v>542</v>
      </c>
      <c r="P98" s="20" t="s">
        <v>68</v>
      </c>
      <c r="Q98" s="23" t="s">
        <v>545</v>
      </c>
      <c r="R98" s="20" t="s">
        <v>46</v>
      </c>
      <c r="S98" s="20" t="s">
        <v>155</v>
      </c>
      <c r="T98" s="20" t="s">
        <v>43</v>
      </c>
      <c r="U98" s="20"/>
      <c r="V98" s="38" t="s">
        <v>635</v>
      </c>
      <c r="W98" s="24">
        <v>2504997146</v>
      </c>
      <c r="X98" s="20"/>
      <c r="Y98" s="23" t="e">
        <f>VLOOKUP(#REF!,[2]Sheet4!$C$2:$F$141,4,0)</f>
        <v>#REF!</v>
      </c>
      <c r="Z98" s="23">
        <v>864456680228</v>
      </c>
      <c r="AA98" s="28">
        <v>7378326029</v>
      </c>
      <c r="AB98" s="20" t="s">
        <v>1319</v>
      </c>
      <c r="AC98" s="20"/>
      <c r="AD98" s="20" t="s">
        <v>484</v>
      </c>
      <c r="AE98" s="28">
        <v>7378326029</v>
      </c>
      <c r="AF98" s="20"/>
      <c r="AG98" s="36" t="s">
        <v>750</v>
      </c>
      <c r="AH98" s="20" t="s">
        <v>758</v>
      </c>
      <c r="AI98" s="5" t="s">
        <v>799</v>
      </c>
      <c r="AJ98" s="20" t="s">
        <v>781</v>
      </c>
      <c r="AK98" s="20">
        <v>424304</v>
      </c>
      <c r="AL98" s="36" t="s">
        <v>750</v>
      </c>
      <c r="AM98" s="20" t="s">
        <v>758</v>
      </c>
      <c r="AN98" s="5" t="s">
        <v>799</v>
      </c>
      <c r="AO98" s="20" t="s">
        <v>781</v>
      </c>
      <c r="AP98" s="20">
        <v>424304</v>
      </c>
      <c r="AQ98" s="28" t="s">
        <v>840</v>
      </c>
      <c r="AR98" s="30">
        <v>36550166745</v>
      </c>
      <c r="AS98" s="28" t="s">
        <v>898</v>
      </c>
      <c r="AT98" s="22" t="s">
        <v>343</v>
      </c>
    </row>
    <row r="99" spans="1:46" x14ac:dyDescent="0.25">
      <c r="A99" s="20">
        <v>94</v>
      </c>
      <c r="B99" s="21" t="s">
        <v>248</v>
      </c>
      <c r="C99" s="20" t="s">
        <v>50</v>
      </c>
      <c r="D99" s="22" t="s">
        <v>360</v>
      </c>
      <c r="E99" s="22" t="s">
        <v>480</v>
      </c>
      <c r="F99" s="22" t="s">
        <v>506</v>
      </c>
      <c r="G99" s="20" t="s">
        <v>64</v>
      </c>
      <c r="H99" s="20"/>
      <c r="I99" s="20" t="str">
        <f>VLOOKUP(B99,'[1]BILLING &amp; PAY SHEET'!$C$9:$H$109,6,0)</f>
        <v>11.07.1992</v>
      </c>
      <c r="J99" s="20" t="str">
        <f>VLOOKUP(B99,'[1]BILLING &amp; PAY SHEET'!$C$9:$I$109,7,0)</f>
        <v>29.05.2025</v>
      </c>
      <c r="K99" s="20" t="s">
        <v>67</v>
      </c>
      <c r="L99" s="20" t="s">
        <v>69</v>
      </c>
      <c r="M99" s="20" t="s">
        <v>539</v>
      </c>
      <c r="N99" s="4" t="s">
        <v>144</v>
      </c>
      <c r="O99" s="20" t="s">
        <v>542</v>
      </c>
      <c r="P99" s="20" t="s">
        <v>68</v>
      </c>
      <c r="Q99" s="23" t="s">
        <v>545</v>
      </c>
      <c r="R99" s="20" t="s">
        <v>46</v>
      </c>
      <c r="S99" s="20" t="s">
        <v>155</v>
      </c>
      <c r="T99" s="20" t="s">
        <v>43</v>
      </c>
      <c r="U99" s="20"/>
      <c r="V99" s="20" t="s">
        <v>636</v>
      </c>
      <c r="W99" s="24">
        <v>2505018420</v>
      </c>
      <c r="X99" s="20"/>
      <c r="Y99" s="23" t="e">
        <f>VLOOKUP(#REF!,[2]Sheet4!$C$2:$F$141,4,0)</f>
        <v>#REF!</v>
      </c>
      <c r="Z99" s="23">
        <v>461382507142</v>
      </c>
      <c r="AA99" s="28">
        <v>9359879617</v>
      </c>
      <c r="AB99" s="20" t="s">
        <v>1185</v>
      </c>
      <c r="AC99" s="20"/>
      <c r="AD99" s="20" t="s">
        <v>480</v>
      </c>
      <c r="AE99" s="28">
        <v>9359879617</v>
      </c>
      <c r="AF99" s="20"/>
      <c r="AG99" s="36" t="s">
        <v>751</v>
      </c>
      <c r="AH99" s="20" t="s">
        <v>758</v>
      </c>
      <c r="AI99" s="5" t="s">
        <v>799</v>
      </c>
      <c r="AJ99" s="20" t="s">
        <v>779</v>
      </c>
      <c r="AK99" s="20">
        <v>425408</v>
      </c>
      <c r="AL99" s="36" t="s">
        <v>751</v>
      </c>
      <c r="AM99" s="20" t="s">
        <v>758</v>
      </c>
      <c r="AN99" s="5" t="s">
        <v>799</v>
      </c>
      <c r="AO99" s="20" t="s">
        <v>779</v>
      </c>
      <c r="AP99" s="20">
        <v>425408</v>
      </c>
      <c r="AQ99" s="28" t="s">
        <v>839</v>
      </c>
      <c r="AR99" s="37" t="s">
        <v>891</v>
      </c>
      <c r="AS99" s="28" t="s">
        <v>894</v>
      </c>
      <c r="AT99" s="22" t="s">
        <v>344</v>
      </c>
    </row>
    <row r="100" spans="1:46" x14ac:dyDescent="0.25">
      <c r="A100" s="20">
        <v>95</v>
      </c>
      <c r="B100" s="21" t="s">
        <v>249</v>
      </c>
      <c r="C100" s="20" t="s">
        <v>50</v>
      </c>
      <c r="D100" s="22" t="s">
        <v>368</v>
      </c>
      <c r="E100" s="22" t="s">
        <v>485</v>
      </c>
      <c r="F100" s="22" t="s">
        <v>536</v>
      </c>
      <c r="G100" s="20" t="s">
        <v>64</v>
      </c>
      <c r="H100" s="20"/>
      <c r="I100" s="20" t="str">
        <f>VLOOKUP(B100,'[1]BILLING &amp; PAY SHEET'!$C$9:$H$109,6,0)</f>
        <v>15.10.2003</v>
      </c>
      <c r="J100" s="20" t="str">
        <f>VLOOKUP(B100,'[1]BILLING &amp; PAY SHEET'!$C$9:$I$109,7,0)</f>
        <v>29.05.2025</v>
      </c>
      <c r="K100" s="20" t="s">
        <v>67</v>
      </c>
      <c r="L100" s="20" t="s">
        <v>69</v>
      </c>
      <c r="M100" s="20" t="s">
        <v>539</v>
      </c>
      <c r="N100" s="4" t="s">
        <v>144</v>
      </c>
      <c r="O100" s="20" t="s">
        <v>542</v>
      </c>
      <c r="P100" s="20" t="s">
        <v>68</v>
      </c>
      <c r="Q100" s="23" t="s">
        <v>545</v>
      </c>
      <c r="R100" s="20" t="s">
        <v>46</v>
      </c>
      <c r="S100" s="20" t="s">
        <v>155</v>
      </c>
      <c r="T100" s="20" t="s">
        <v>43</v>
      </c>
      <c r="U100" s="20"/>
      <c r="V100" s="38" t="s">
        <v>637</v>
      </c>
      <c r="W100" s="24">
        <v>2504997119</v>
      </c>
      <c r="X100" s="20"/>
      <c r="Y100" s="23" t="e">
        <f>VLOOKUP(#REF!,[2]Sheet4!$C$2:$F$141,4,0)</f>
        <v>#REF!</v>
      </c>
      <c r="Z100" s="23">
        <v>815707527807</v>
      </c>
      <c r="AA100" s="28">
        <v>8010737282</v>
      </c>
      <c r="AB100" s="20" t="s">
        <v>1319</v>
      </c>
      <c r="AC100" s="20"/>
      <c r="AD100" s="20" t="s">
        <v>485</v>
      </c>
      <c r="AE100" s="28">
        <v>8010737282</v>
      </c>
      <c r="AF100" s="20"/>
      <c r="AG100" s="36" t="s">
        <v>752</v>
      </c>
      <c r="AH100" s="20" t="s">
        <v>758</v>
      </c>
      <c r="AI100" s="5" t="s">
        <v>799</v>
      </c>
      <c r="AJ100" s="20" t="s">
        <v>781</v>
      </c>
      <c r="AK100" s="20">
        <v>424305</v>
      </c>
      <c r="AL100" s="36" t="s">
        <v>752</v>
      </c>
      <c r="AM100" s="20" t="s">
        <v>758</v>
      </c>
      <c r="AN100" s="5" t="s">
        <v>799</v>
      </c>
      <c r="AO100" s="20" t="s">
        <v>781</v>
      </c>
      <c r="AP100" s="20">
        <v>424305</v>
      </c>
      <c r="AQ100" s="28" t="s">
        <v>854</v>
      </c>
      <c r="AR100" s="37" t="s">
        <v>892</v>
      </c>
      <c r="AS100" s="28" t="s">
        <v>925</v>
      </c>
      <c r="AT100" s="22" t="s">
        <v>345</v>
      </c>
    </row>
    <row r="101" spans="1:46" x14ac:dyDescent="0.25">
      <c r="A101" s="20">
        <v>96</v>
      </c>
      <c r="B101" s="21" t="s">
        <v>250</v>
      </c>
      <c r="C101" s="20" t="s">
        <v>50</v>
      </c>
      <c r="D101" s="22" t="s">
        <v>412</v>
      </c>
      <c r="E101" s="22" t="s">
        <v>486</v>
      </c>
      <c r="F101" s="22" t="s">
        <v>537</v>
      </c>
      <c r="G101" s="20" t="s">
        <v>64</v>
      </c>
      <c r="H101" s="20"/>
      <c r="I101" s="20" t="str">
        <f>VLOOKUP(B101,'[1]BILLING &amp; PAY SHEET'!$C$9:$H$109,6,0)</f>
        <v>18.09.1982</v>
      </c>
      <c r="J101" s="20" t="str">
        <f>VLOOKUP(B101,'[1]BILLING &amp; PAY SHEET'!$C$9:$I$109,7,0)</f>
        <v>15.06.2025</v>
      </c>
      <c r="K101" s="20" t="s">
        <v>67</v>
      </c>
      <c r="L101" s="20" t="s">
        <v>69</v>
      </c>
      <c r="M101" s="20" t="s">
        <v>539</v>
      </c>
      <c r="N101" s="4" t="s">
        <v>144</v>
      </c>
      <c r="O101" s="20" t="s">
        <v>542</v>
      </c>
      <c r="P101" s="20" t="s">
        <v>68</v>
      </c>
      <c r="Q101" s="23" t="s">
        <v>545</v>
      </c>
      <c r="R101" s="20" t="s">
        <v>46</v>
      </c>
      <c r="S101" s="20" t="s">
        <v>155</v>
      </c>
      <c r="T101" s="20" t="s">
        <v>43</v>
      </c>
      <c r="U101" s="20"/>
      <c r="V101" s="38" t="s">
        <v>638</v>
      </c>
      <c r="W101" s="39" t="s">
        <v>681</v>
      </c>
      <c r="X101" s="20"/>
      <c r="Y101" s="23" t="e">
        <f>VLOOKUP(#REF!,[2]Sheet4!$C$2:$F$141,4,0)</f>
        <v>#REF!</v>
      </c>
      <c r="Z101" s="23" t="s">
        <v>695</v>
      </c>
      <c r="AA101" s="30">
        <v>9421524014</v>
      </c>
      <c r="AB101" s="20" t="s">
        <v>1319</v>
      </c>
      <c r="AC101" s="20"/>
      <c r="AD101" s="20" t="s">
        <v>486</v>
      </c>
      <c r="AE101" s="30">
        <v>9421524014</v>
      </c>
      <c r="AF101" s="20"/>
      <c r="AG101" s="36" t="s">
        <v>753</v>
      </c>
      <c r="AH101" s="34" t="s">
        <v>786</v>
      </c>
      <c r="AI101" s="5" t="s">
        <v>799</v>
      </c>
      <c r="AJ101" s="20" t="s">
        <v>779</v>
      </c>
      <c r="AK101" s="20">
        <v>425412</v>
      </c>
      <c r="AL101" s="36" t="s">
        <v>753</v>
      </c>
      <c r="AM101" s="34" t="s">
        <v>786</v>
      </c>
      <c r="AN101" s="5" t="s">
        <v>799</v>
      </c>
      <c r="AO101" s="20" t="s">
        <v>779</v>
      </c>
      <c r="AP101" s="20">
        <v>425412</v>
      </c>
      <c r="AQ101" s="28" t="s">
        <v>844</v>
      </c>
      <c r="AR101" s="37" t="s">
        <v>893</v>
      </c>
      <c r="AS101" s="28" t="s">
        <v>918</v>
      </c>
      <c r="AT101" s="22" t="s">
        <v>346</v>
      </c>
    </row>
    <row r="102" spans="1:46" x14ac:dyDescent="0.25">
      <c r="A102" s="20">
        <v>97</v>
      </c>
      <c r="B102" s="21" t="s">
        <v>251</v>
      </c>
      <c r="C102" s="20" t="s">
        <v>50</v>
      </c>
      <c r="D102" s="22" t="s">
        <v>419</v>
      </c>
      <c r="E102" s="22" t="s">
        <v>487</v>
      </c>
      <c r="F102" s="22" t="s">
        <v>538</v>
      </c>
      <c r="G102" s="20" t="s">
        <v>64</v>
      </c>
      <c r="H102" s="20"/>
      <c r="I102" s="31" t="s">
        <v>836</v>
      </c>
      <c r="J102" s="20" t="s">
        <v>837</v>
      </c>
      <c r="K102" s="20" t="s">
        <v>67</v>
      </c>
      <c r="L102" s="20" t="s">
        <v>69</v>
      </c>
      <c r="M102" s="20" t="s">
        <v>539</v>
      </c>
      <c r="N102" s="4" t="s">
        <v>144</v>
      </c>
      <c r="O102" s="20" t="s">
        <v>542</v>
      </c>
      <c r="P102" s="20" t="s">
        <v>68</v>
      </c>
      <c r="Q102" s="23" t="s">
        <v>545</v>
      </c>
      <c r="R102" s="20" t="s">
        <v>46</v>
      </c>
      <c r="S102" s="20" t="s">
        <v>155</v>
      </c>
      <c r="T102" s="20" t="s">
        <v>43</v>
      </c>
      <c r="U102" s="20"/>
      <c r="V102" s="23">
        <v>101645433724</v>
      </c>
      <c r="W102" s="40"/>
      <c r="X102" s="20" t="s">
        <v>995</v>
      </c>
      <c r="Y102" s="23" t="e">
        <f>VLOOKUP(#REF!,[2]Sheet4!$C$2:$F$141,4,0)</f>
        <v>#REF!</v>
      </c>
      <c r="Z102" s="23">
        <v>410478305812</v>
      </c>
      <c r="AA102" s="30">
        <v>9325150924</v>
      </c>
      <c r="AB102" s="20" t="s">
        <v>1319</v>
      </c>
      <c r="AC102" s="20"/>
      <c r="AD102" s="20" t="s">
        <v>487</v>
      </c>
      <c r="AE102" s="30">
        <v>9325150924</v>
      </c>
      <c r="AF102" s="20"/>
      <c r="AG102" s="25" t="s">
        <v>720</v>
      </c>
      <c r="AH102" s="20" t="s">
        <v>772</v>
      </c>
      <c r="AI102" s="5" t="s">
        <v>799</v>
      </c>
      <c r="AJ102" s="20" t="s">
        <v>787</v>
      </c>
      <c r="AK102" s="20">
        <v>424305</v>
      </c>
      <c r="AL102" s="25" t="s">
        <v>720</v>
      </c>
      <c r="AM102" s="20" t="s">
        <v>772</v>
      </c>
      <c r="AN102" s="5" t="s">
        <v>799</v>
      </c>
      <c r="AO102" s="20" t="s">
        <v>787</v>
      </c>
      <c r="AP102" s="20">
        <v>424305</v>
      </c>
      <c r="AQ102" s="20" t="s">
        <v>993</v>
      </c>
      <c r="AR102" s="20">
        <v>34599168265</v>
      </c>
      <c r="AS102" s="20" t="s">
        <v>994</v>
      </c>
      <c r="AT102" s="22" t="s">
        <v>347</v>
      </c>
    </row>
    <row r="103" spans="1:46" x14ac:dyDescent="0.25">
      <c r="A103" s="20">
        <v>98</v>
      </c>
      <c r="B103" s="21" t="s">
        <v>252</v>
      </c>
      <c r="C103" s="20" t="s">
        <v>50</v>
      </c>
      <c r="D103" s="22" t="s">
        <v>420</v>
      </c>
      <c r="E103" s="22" t="s">
        <v>415</v>
      </c>
      <c r="F103" s="22" t="s">
        <v>500</v>
      </c>
      <c r="G103" s="20" t="s">
        <v>64</v>
      </c>
      <c r="H103" s="20"/>
      <c r="I103" s="31" t="s">
        <v>830</v>
      </c>
      <c r="J103" s="31" t="s">
        <v>838</v>
      </c>
      <c r="K103" s="20" t="s">
        <v>67</v>
      </c>
      <c r="L103" s="20" t="s">
        <v>69</v>
      </c>
      <c r="M103" s="20" t="s">
        <v>539</v>
      </c>
      <c r="N103" s="4" t="s">
        <v>144</v>
      </c>
      <c r="O103" s="20" t="s">
        <v>542</v>
      </c>
      <c r="P103" s="20" t="s">
        <v>68</v>
      </c>
      <c r="Q103" s="23" t="s">
        <v>545</v>
      </c>
      <c r="R103" s="20" t="s">
        <v>46</v>
      </c>
      <c r="S103" s="20" t="s">
        <v>155</v>
      </c>
      <c r="T103" s="20" t="s">
        <v>43</v>
      </c>
      <c r="U103" s="20"/>
      <c r="V103" s="23">
        <v>100512496671</v>
      </c>
      <c r="W103" s="20">
        <v>2503140203</v>
      </c>
      <c r="X103" s="20" t="s">
        <v>958</v>
      </c>
      <c r="Y103" s="23" t="e">
        <f>VLOOKUP(#REF!,[2]Sheet4!$C$2:$F$141,4,0)</f>
        <v>#REF!</v>
      </c>
      <c r="Z103" s="23">
        <v>889806876048</v>
      </c>
      <c r="AA103" s="20">
        <v>9172703712</v>
      </c>
      <c r="AB103" s="20" t="s">
        <v>1319</v>
      </c>
      <c r="AC103" s="20"/>
      <c r="AD103" s="20" t="s">
        <v>415</v>
      </c>
      <c r="AE103" s="20">
        <v>9172703712</v>
      </c>
      <c r="AF103" s="20"/>
      <c r="AG103" s="20" t="s">
        <v>950</v>
      </c>
      <c r="AH103" s="20" t="s">
        <v>758</v>
      </c>
      <c r="AI103" s="5" t="s">
        <v>799</v>
      </c>
      <c r="AJ103" s="20" t="s">
        <v>781</v>
      </c>
      <c r="AK103" s="20">
        <v>424305</v>
      </c>
      <c r="AL103" s="20" t="s">
        <v>950</v>
      </c>
      <c r="AM103" s="20" t="s">
        <v>758</v>
      </c>
      <c r="AN103" s="5" t="s">
        <v>799</v>
      </c>
      <c r="AO103" s="20" t="s">
        <v>781</v>
      </c>
      <c r="AP103" s="20">
        <v>424305</v>
      </c>
      <c r="AQ103" s="20" t="s">
        <v>980</v>
      </c>
      <c r="AR103" s="23">
        <v>3928787559</v>
      </c>
      <c r="AS103" s="20" t="s">
        <v>897</v>
      </c>
      <c r="AT103" s="22" t="s">
        <v>992</v>
      </c>
    </row>
    <row r="104" spans="1:46" x14ac:dyDescent="0.25">
      <c r="A104" s="20">
        <v>99</v>
      </c>
      <c r="B104" s="21" t="s">
        <v>788</v>
      </c>
      <c r="C104" s="20" t="s">
        <v>50</v>
      </c>
      <c r="D104" s="22" t="s">
        <v>811</v>
      </c>
      <c r="E104" s="22" t="s">
        <v>454</v>
      </c>
      <c r="F104" s="22" t="s">
        <v>524</v>
      </c>
      <c r="G104" s="20" t="s">
        <v>64</v>
      </c>
      <c r="H104" s="20"/>
      <c r="I104" s="31">
        <v>34700</v>
      </c>
      <c r="J104" s="31">
        <v>45758</v>
      </c>
      <c r="K104" s="20" t="s">
        <v>67</v>
      </c>
      <c r="L104" s="20" t="s">
        <v>69</v>
      </c>
      <c r="M104" s="20" t="s">
        <v>539</v>
      </c>
      <c r="N104" s="4" t="s">
        <v>144</v>
      </c>
      <c r="O104" s="20" t="s">
        <v>542</v>
      </c>
      <c r="P104" s="20" t="s">
        <v>68</v>
      </c>
      <c r="Q104" s="23" t="s">
        <v>545</v>
      </c>
      <c r="R104" s="20" t="s">
        <v>46</v>
      </c>
      <c r="S104" s="20" t="s">
        <v>155</v>
      </c>
      <c r="T104" s="20" t="s">
        <v>43</v>
      </c>
      <c r="U104" s="20"/>
      <c r="V104" s="41"/>
      <c r="W104" s="29"/>
      <c r="X104" s="20" t="s">
        <v>959</v>
      </c>
      <c r="Y104" s="23" t="e">
        <f>VLOOKUP(#REF!,[2]Sheet4!$C$2:$F$141,4,0)</f>
        <v>#REF!</v>
      </c>
      <c r="Z104" s="23" t="s">
        <v>970</v>
      </c>
      <c r="AA104" s="20">
        <v>9673891486</v>
      </c>
      <c r="AB104" s="20" t="s">
        <v>1319</v>
      </c>
      <c r="AC104" s="20"/>
      <c r="AD104" s="20" t="s">
        <v>454</v>
      </c>
      <c r="AE104" s="20">
        <v>9673891486</v>
      </c>
      <c r="AF104" s="20"/>
      <c r="AG104" s="31" t="s">
        <v>951</v>
      </c>
      <c r="AH104" s="20" t="s">
        <v>758</v>
      </c>
      <c r="AI104" s="5" t="s">
        <v>799</v>
      </c>
      <c r="AJ104" s="20" t="s">
        <v>779</v>
      </c>
      <c r="AK104" s="20">
        <v>425408</v>
      </c>
      <c r="AL104" s="31" t="s">
        <v>951</v>
      </c>
      <c r="AM104" s="20" t="s">
        <v>758</v>
      </c>
      <c r="AN104" s="5" t="s">
        <v>799</v>
      </c>
      <c r="AO104" s="20" t="s">
        <v>779</v>
      </c>
      <c r="AP104" s="20">
        <v>425408</v>
      </c>
      <c r="AQ104" s="20" t="s">
        <v>981</v>
      </c>
      <c r="AR104" s="23">
        <v>80093458669</v>
      </c>
      <c r="AS104" s="20" t="s">
        <v>894</v>
      </c>
      <c r="AT104" s="22" t="s">
        <v>800</v>
      </c>
    </row>
    <row r="105" spans="1:46" x14ac:dyDescent="0.25">
      <c r="A105" s="20">
        <v>100</v>
      </c>
      <c r="B105" s="21" t="s">
        <v>789</v>
      </c>
      <c r="C105" s="20" t="s">
        <v>50</v>
      </c>
      <c r="D105" s="22" t="s">
        <v>388</v>
      </c>
      <c r="E105" s="22" t="s">
        <v>440</v>
      </c>
      <c r="F105" s="22" t="s">
        <v>823</v>
      </c>
      <c r="G105" s="20" t="s">
        <v>64</v>
      </c>
      <c r="H105" s="20"/>
      <c r="I105" s="20" t="s">
        <v>831</v>
      </c>
      <c r="J105" s="31">
        <v>45819</v>
      </c>
      <c r="K105" s="20" t="s">
        <v>67</v>
      </c>
      <c r="L105" s="20" t="s">
        <v>69</v>
      </c>
      <c r="M105" s="20" t="s">
        <v>539</v>
      </c>
      <c r="N105" s="4" t="s">
        <v>144</v>
      </c>
      <c r="O105" s="20" t="s">
        <v>542</v>
      </c>
      <c r="P105" s="20" t="s">
        <v>68</v>
      </c>
      <c r="Q105" s="23" t="s">
        <v>545</v>
      </c>
      <c r="R105" s="20" t="s">
        <v>46</v>
      </c>
      <c r="S105" s="20" t="s">
        <v>155</v>
      </c>
      <c r="T105" s="20" t="s">
        <v>43</v>
      </c>
      <c r="U105" s="20"/>
      <c r="V105" s="23">
        <v>102086740138</v>
      </c>
      <c r="W105" s="29"/>
      <c r="X105" s="20" t="s">
        <v>960</v>
      </c>
      <c r="Y105" s="23" t="e">
        <f>VLOOKUP(#REF!,[2]Sheet4!$C$2:$F$141,4,0)</f>
        <v>#REF!</v>
      </c>
      <c r="Z105" s="23" t="s">
        <v>971</v>
      </c>
      <c r="AA105" s="20">
        <v>8668434710</v>
      </c>
      <c r="AB105" s="20" t="s">
        <v>1185</v>
      </c>
      <c r="AC105" s="20"/>
      <c r="AD105" s="20" t="s">
        <v>440</v>
      </c>
      <c r="AE105" s="20">
        <v>8668434710</v>
      </c>
      <c r="AF105" s="20"/>
      <c r="AG105" s="20" t="s">
        <v>952</v>
      </c>
      <c r="AH105" s="20" t="s">
        <v>758</v>
      </c>
      <c r="AI105" s="5" t="s">
        <v>799</v>
      </c>
      <c r="AJ105" s="20" t="s">
        <v>779</v>
      </c>
      <c r="AK105" s="20">
        <v>425444</v>
      </c>
      <c r="AL105" s="20" t="s">
        <v>952</v>
      </c>
      <c r="AM105" s="20" t="s">
        <v>758</v>
      </c>
      <c r="AN105" s="5" t="s">
        <v>799</v>
      </c>
      <c r="AO105" s="20" t="s">
        <v>779</v>
      </c>
      <c r="AP105" s="20">
        <v>425444</v>
      </c>
      <c r="AQ105" s="20" t="s">
        <v>982</v>
      </c>
      <c r="AR105" s="23">
        <v>60294400958</v>
      </c>
      <c r="AS105" s="20" t="s">
        <v>989</v>
      </c>
      <c r="AT105" s="22" t="s">
        <v>801</v>
      </c>
    </row>
    <row r="106" spans="1:46" x14ac:dyDescent="0.25">
      <c r="A106" s="20">
        <v>101</v>
      </c>
      <c r="B106" s="21" t="s">
        <v>790</v>
      </c>
      <c r="C106" s="20" t="s">
        <v>50</v>
      </c>
      <c r="D106" s="22" t="s">
        <v>812</v>
      </c>
      <c r="E106" s="22" t="s">
        <v>817</v>
      </c>
      <c r="F106" s="22" t="s">
        <v>824</v>
      </c>
      <c r="G106" s="20" t="s">
        <v>64</v>
      </c>
      <c r="H106" s="20"/>
      <c r="I106" s="31">
        <v>37378</v>
      </c>
      <c r="J106" s="31">
        <v>45819</v>
      </c>
      <c r="K106" s="20" t="s">
        <v>67</v>
      </c>
      <c r="L106" s="20" t="s">
        <v>69</v>
      </c>
      <c r="M106" s="20" t="s">
        <v>539</v>
      </c>
      <c r="N106" s="4" t="s">
        <v>144</v>
      </c>
      <c r="O106" s="20" t="s">
        <v>542</v>
      </c>
      <c r="P106" s="20" t="s">
        <v>68</v>
      </c>
      <c r="Q106" s="23" t="s">
        <v>545</v>
      </c>
      <c r="R106" s="20" t="s">
        <v>46</v>
      </c>
      <c r="S106" s="20" t="s">
        <v>155</v>
      </c>
      <c r="T106" s="20" t="s">
        <v>43</v>
      </c>
      <c r="U106" s="20"/>
      <c r="V106" s="23">
        <v>102266796142</v>
      </c>
      <c r="W106" s="29"/>
      <c r="X106" s="20" t="s">
        <v>961</v>
      </c>
      <c r="Y106" s="23" t="e">
        <f>VLOOKUP(#REF!,[2]Sheet4!$C$2:$F$141,4,0)</f>
        <v>#REF!</v>
      </c>
      <c r="Z106" s="23" t="s">
        <v>972</v>
      </c>
      <c r="AA106" s="20">
        <v>9552152566</v>
      </c>
      <c r="AB106" s="20" t="s">
        <v>1319</v>
      </c>
      <c r="AC106" s="20"/>
      <c r="AD106" s="20" t="s">
        <v>817</v>
      </c>
      <c r="AE106" s="20">
        <v>9552152566</v>
      </c>
      <c r="AF106" s="20"/>
      <c r="AG106" s="31" t="s">
        <v>953</v>
      </c>
      <c r="AH106" s="20" t="s">
        <v>758</v>
      </c>
      <c r="AI106" s="5" t="s">
        <v>799</v>
      </c>
      <c r="AJ106" s="20" t="s">
        <v>781</v>
      </c>
      <c r="AK106" s="20">
        <v>425409</v>
      </c>
      <c r="AL106" s="31" t="s">
        <v>953</v>
      </c>
      <c r="AM106" s="20" t="s">
        <v>758</v>
      </c>
      <c r="AN106" s="5" t="s">
        <v>799</v>
      </c>
      <c r="AO106" s="20" t="s">
        <v>781</v>
      </c>
      <c r="AP106" s="20">
        <v>425409</v>
      </c>
      <c r="AQ106" s="20" t="s">
        <v>983</v>
      </c>
      <c r="AR106" s="23">
        <v>3902563990</v>
      </c>
      <c r="AS106" s="20" t="s">
        <v>990</v>
      </c>
      <c r="AT106" s="22" t="s">
        <v>802</v>
      </c>
    </row>
    <row r="107" spans="1:46" x14ac:dyDescent="0.25">
      <c r="A107" s="20">
        <v>102</v>
      </c>
      <c r="B107" s="21" t="s">
        <v>791</v>
      </c>
      <c r="C107" s="20" t="s">
        <v>50</v>
      </c>
      <c r="D107" s="22" t="s">
        <v>813</v>
      </c>
      <c r="E107" s="22" t="s">
        <v>455</v>
      </c>
      <c r="F107" s="22" t="s">
        <v>825</v>
      </c>
      <c r="G107" s="20" t="s">
        <v>64</v>
      </c>
      <c r="H107" s="20"/>
      <c r="I107" s="31">
        <v>33546</v>
      </c>
      <c r="J107" s="31">
        <v>45849</v>
      </c>
      <c r="K107" s="20" t="s">
        <v>67</v>
      </c>
      <c r="L107" s="20" t="s">
        <v>69</v>
      </c>
      <c r="M107" s="20" t="s">
        <v>539</v>
      </c>
      <c r="N107" s="4" t="s">
        <v>144</v>
      </c>
      <c r="O107" s="20" t="s">
        <v>542</v>
      </c>
      <c r="P107" s="20" t="s">
        <v>68</v>
      </c>
      <c r="Q107" s="23" t="s">
        <v>545</v>
      </c>
      <c r="R107" s="20" t="s">
        <v>46</v>
      </c>
      <c r="S107" s="20" t="s">
        <v>155</v>
      </c>
      <c r="T107" s="20" t="s">
        <v>43</v>
      </c>
      <c r="U107" s="20"/>
      <c r="V107" s="23">
        <v>100513236785</v>
      </c>
      <c r="W107" s="29"/>
      <c r="X107" s="20" t="s">
        <v>962</v>
      </c>
      <c r="Y107" s="23" t="e">
        <f>VLOOKUP(#REF!,[2]Sheet4!$C$2:$F$141,4,0)</f>
        <v>#REF!</v>
      </c>
      <c r="Z107" s="23" t="s">
        <v>973</v>
      </c>
      <c r="AA107" s="20">
        <v>9028893488</v>
      </c>
      <c r="AB107" s="20" t="s">
        <v>1319</v>
      </c>
      <c r="AC107" s="20"/>
      <c r="AD107" s="20" t="s">
        <v>455</v>
      </c>
      <c r="AE107" s="20">
        <v>9028893488</v>
      </c>
      <c r="AF107" s="20"/>
      <c r="AG107" s="20" t="s">
        <v>954</v>
      </c>
      <c r="AH107" s="20" t="s">
        <v>758</v>
      </c>
      <c r="AI107" s="5" t="s">
        <v>799</v>
      </c>
      <c r="AJ107" s="20" t="s">
        <v>781</v>
      </c>
      <c r="AK107" s="20">
        <v>424305</v>
      </c>
      <c r="AL107" s="20" t="s">
        <v>954</v>
      </c>
      <c r="AM107" s="20" t="s">
        <v>758</v>
      </c>
      <c r="AN107" s="5" t="s">
        <v>799</v>
      </c>
      <c r="AO107" s="20" t="s">
        <v>781</v>
      </c>
      <c r="AP107" s="20">
        <v>424305</v>
      </c>
      <c r="AQ107" s="20" t="s">
        <v>981</v>
      </c>
      <c r="AR107" s="23">
        <v>60194573801</v>
      </c>
      <c r="AS107" s="20" t="s">
        <v>991</v>
      </c>
      <c r="AT107" s="22" t="s">
        <v>803</v>
      </c>
    </row>
    <row r="108" spans="1:46" x14ac:dyDescent="0.25">
      <c r="A108" s="20">
        <v>103</v>
      </c>
      <c r="B108" s="21" t="s">
        <v>792</v>
      </c>
      <c r="C108" s="20" t="s">
        <v>50</v>
      </c>
      <c r="D108" s="22" t="s">
        <v>814</v>
      </c>
      <c r="E108" s="22" t="s">
        <v>819</v>
      </c>
      <c r="F108" s="22" t="s">
        <v>826</v>
      </c>
      <c r="G108" s="20" t="s">
        <v>64</v>
      </c>
      <c r="H108" s="20"/>
      <c r="I108" s="20" t="s">
        <v>832</v>
      </c>
      <c r="J108" s="31">
        <v>45849</v>
      </c>
      <c r="K108" s="20" t="s">
        <v>67</v>
      </c>
      <c r="L108" s="20" t="s">
        <v>69</v>
      </c>
      <c r="M108" s="20" t="s">
        <v>539</v>
      </c>
      <c r="N108" s="4" t="s">
        <v>144</v>
      </c>
      <c r="O108" s="20" t="s">
        <v>542</v>
      </c>
      <c r="P108" s="20" t="s">
        <v>68</v>
      </c>
      <c r="Q108" s="23" t="s">
        <v>545</v>
      </c>
      <c r="R108" s="20" t="s">
        <v>46</v>
      </c>
      <c r="S108" s="20" t="s">
        <v>155</v>
      </c>
      <c r="T108" s="20" t="s">
        <v>43</v>
      </c>
      <c r="U108" s="20"/>
      <c r="V108" s="23">
        <v>101999796635</v>
      </c>
      <c r="W108" s="29"/>
      <c r="X108" s="20" t="s">
        <v>963</v>
      </c>
      <c r="Y108" s="23" t="e">
        <f>VLOOKUP(#REF!,[2]Sheet4!$C$2:$F$141,4,0)</f>
        <v>#REF!</v>
      </c>
      <c r="Z108" s="23" t="s">
        <v>974</v>
      </c>
      <c r="AA108" s="20">
        <v>8010217933</v>
      </c>
      <c r="AB108" s="20" t="s">
        <v>1319</v>
      </c>
      <c r="AC108" s="20"/>
      <c r="AD108" s="20" t="s">
        <v>819</v>
      </c>
      <c r="AE108" s="20">
        <v>8010217933</v>
      </c>
      <c r="AF108" s="20"/>
      <c r="AG108" s="20" t="s">
        <v>950</v>
      </c>
      <c r="AH108" s="20" t="s">
        <v>758</v>
      </c>
      <c r="AI108" s="5" t="s">
        <v>799</v>
      </c>
      <c r="AJ108" s="20" t="s">
        <v>781</v>
      </c>
      <c r="AK108" s="20">
        <v>424305</v>
      </c>
      <c r="AL108" s="20" t="s">
        <v>950</v>
      </c>
      <c r="AM108" s="20" t="s">
        <v>758</v>
      </c>
      <c r="AN108" s="5" t="s">
        <v>799</v>
      </c>
      <c r="AO108" s="20" t="s">
        <v>781</v>
      </c>
      <c r="AP108" s="20">
        <v>424305</v>
      </c>
      <c r="AQ108" s="20" t="s">
        <v>984</v>
      </c>
      <c r="AR108" s="23">
        <v>35947025930</v>
      </c>
      <c r="AS108" s="20" t="s">
        <v>898</v>
      </c>
      <c r="AT108" s="22" t="s">
        <v>804</v>
      </c>
    </row>
    <row r="109" spans="1:46" x14ac:dyDescent="0.25">
      <c r="A109" s="20">
        <v>104</v>
      </c>
      <c r="B109" s="21" t="s">
        <v>793</v>
      </c>
      <c r="C109" s="20" t="s">
        <v>50</v>
      </c>
      <c r="D109" s="22" t="s">
        <v>815</v>
      </c>
      <c r="E109" s="22" t="s">
        <v>371</v>
      </c>
      <c r="F109" s="22" t="s">
        <v>492</v>
      </c>
      <c r="G109" s="20" t="s">
        <v>64</v>
      </c>
      <c r="H109" s="20"/>
      <c r="I109" s="31" t="s">
        <v>1036</v>
      </c>
      <c r="J109" s="31">
        <v>45972</v>
      </c>
      <c r="K109" s="20" t="s">
        <v>67</v>
      </c>
      <c r="L109" s="20" t="s">
        <v>69</v>
      </c>
      <c r="M109" s="20" t="s">
        <v>539</v>
      </c>
      <c r="N109" s="4" t="s">
        <v>144</v>
      </c>
      <c r="O109" s="20" t="s">
        <v>542</v>
      </c>
      <c r="P109" s="20" t="s">
        <v>68</v>
      </c>
      <c r="Q109" s="23" t="s">
        <v>545</v>
      </c>
      <c r="R109" s="20" t="s">
        <v>46</v>
      </c>
      <c r="S109" s="20" t="s">
        <v>155</v>
      </c>
      <c r="T109" s="20" t="s">
        <v>43</v>
      </c>
      <c r="U109" s="20"/>
      <c r="V109" s="23">
        <v>101838689194</v>
      </c>
      <c r="W109" s="29"/>
      <c r="X109" s="20" t="s">
        <v>964</v>
      </c>
      <c r="Y109" s="23" t="e">
        <f>VLOOKUP(#REF!,[2]Sheet4!$C$2:$F$141,4,0)</f>
        <v>#REF!</v>
      </c>
      <c r="Z109" s="23">
        <v>895461021704</v>
      </c>
      <c r="AA109" s="20">
        <v>7821037880</v>
      </c>
      <c r="AB109" s="20" t="s">
        <v>1319</v>
      </c>
      <c r="AC109" s="20"/>
      <c r="AD109" s="20" t="s">
        <v>371</v>
      </c>
      <c r="AE109" s="20">
        <v>7821037880</v>
      </c>
      <c r="AF109" s="20"/>
      <c r="AG109" s="20" t="s">
        <v>950</v>
      </c>
      <c r="AH109" s="20" t="s">
        <v>758</v>
      </c>
      <c r="AI109" s="5" t="s">
        <v>799</v>
      </c>
      <c r="AJ109" s="20" t="s">
        <v>781</v>
      </c>
      <c r="AK109" s="20">
        <v>424305</v>
      </c>
      <c r="AL109" s="20" t="s">
        <v>950</v>
      </c>
      <c r="AM109" s="20" t="s">
        <v>758</v>
      </c>
      <c r="AN109" s="5" t="s">
        <v>799</v>
      </c>
      <c r="AO109" s="20" t="s">
        <v>781</v>
      </c>
      <c r="AP109" s="20">
        <v>424305</v>
      </c>
      <c r="AQ109" s="20" t="s">
        <v>985</v>
      </c>
      <c r="AR109" s="23">
        <v>4001053361</v>
      </c>
      <c r="AS109" s="20" t="s">
        <v>897</v>
      </c>
      <c r="AT109" s="22" t="s">
        <v>805</v>
      </c>
    </row>
    <row r="110" spans="1:46" x14ac:dyDescent="0.25">
      <c r="A110" s="20">
        <v>105</v>
      </c>
      <c r="B110" s="21" t="s">
        <v>794</v>
      </c>
      <c r="C110" s="20" t="s">
        <v>50</v>
      </c>
      <c r="D110" s="22" t="s">
        <v>816</v>
      </c>
      <c r="E110" s="22" t="s">
        <v>820</v>
      </c>
      <c r="F110" s="22" t="s">
        <v>511</v>
      </c>
      <c r="G110" s="20" t="s">
        <v>64</v>
      </c>
      <c r="H110" s="20"/>
      <c r="I110" s="31">
        <v>38200</v>
      </c>
      <c r="J110" s="31">
        <v>45849</v>
      </c>
      <c r="K110" s="20" t="s">
        <v>67</v>
      </c>
      <c r="L110" s="20" t="s">
        <v>69</v>
      </c>
      <c r="M110" s="20" t="s">
        <v>539</v>
      </c>
      <c r="N110" s="4" t="s">
        <v>144</v>
      </c>
      <c r="O110" s="20" t="s">
        <v>542</v>
      </c>
      <c r="P110" s="20" t="s">
        <v>68</v>
      </c>
      <c r="Q110" s="23" t="s">
        <v>545</v>
      </c>
      <c r="R110" s="20" t="s">
        <v>46</v>
      </c>
      <c r="S110" s="20" t="s">
        <v>155</v>
      </c>
      <c r="T110" s="20" t="s">
        <v>43</v>
      </c>
      <c r="U110" s="20"/>
      <c r="V110" s="23">
        <v>101871826169</v>
      </c>
      <c r="W110" s="29"/>
      <c r="X110" s="20" t="s">
        <v>965</v>
      </c>
      <c r="Y110" s="23" t="e">
        <f>VLOOKUP(#REF!,[2]Sheet4!$C$2:$F$141,4,0)</f>
        <v>#REF!</v>
      </c>
      <c r="Z110" s="23" t="s">
        <v>975</v>
      </c>
      <c r="AA110" s="20">
        <v>7058166653</v>
      </c>
      <c r="AB110" s="20" t="s">
        <v>1319</v>
      </c>
      <c r="AC110" s="20"/>
      <c r="AD110" s="20" t="s">
        <v>820</v>
      </c>
      <c r="AE110" s="20">
        <v>7058166653</v>
      </c>
      <c r="AF110" s="20"/>
      <c r="AG110" s="31" t="s">
        <v>955</v>
      </c>
      <c r="AH110" s="34" t="s">
        <v>946</v>
      </c>
      <c r="AI110" s="5" t="s">
        <v>799</v>
      </c>
      <c r="AJ110" s="20" t="s">
        <v>781</v>
      </c>
      <c r="AK110" s="20">
        <v>425408</v>
      </c>
      <c r="AL110" s="31" t="s">
        <v>955</v>
      </c>
      <c r="AM110" s="34" t="s">
        <v>946</v>
      </c>
      <c r="AN110" s="5" t="s">
        <v>799</v>
      </c>
      <c r="AO110" s="20" t="s">
        <v>781</v>
      </c>
      <c r="AP110" s="20">
        <v>425408</v>
      </c>
      <c r="AQ110" s="20" t="s">
        <v>986</v>
      </c>
      <c r="AR110" s="23">
        <v>3687002506</v>
      </c>
      <c r="AS110" s="20" t="s">
        <v>896</v>
      </c>
      <c r="AT110" s="22" t="s">
        <v>806</v>
      </c>
    </row>
    <row r="111" spans="1:46" x14ac:dyDescent="0.25">
      <c r="A111" s="20">
        <v>106</v>
      </c>
      <c r="B111" s="21" t="s">
        <v>795</v>
      </c>
      <c r="C111" s="20" t="s">
        <v>50</v>
      </c>
      <c r="D111" s="22" t="s">
        <v>380</v>
      </c>
      <c r="E111" s="22" t="s">
        <v>821</v>
      </c>
      <c r="F111" s="22" t="s">
        <v>827</v>
      </c>
      <c r="G111" s="20" t="s">
        <v>64</v>
      </c>
      <c r="H111" s="20"/>
      <c r="I111" s="20" t="s">
        <v>833</v>
      </c>
      <c r="J111" s="31">
        <v>45849</v>
      </c>
      <c r="K111" s="20" t="s">
        <v>67</v>
      </c>
      <c r="L111" s="20" t="s">
        <v>69</v>
      </c>
      <c r="M111" s="20" t="s">
        <v>539</v>
      </c>
      <c r="N111" s="4" t="s">
        <v>144</v>
      </c>
      <c r="O111" s="20" t="s">
        <v>542</v>
      </c>
      <c r="P111" s="20" t="s">
        <v>68</v>
      </c>
      <c r="Q111" s="23" t="s">
        <v>545</v>
      </c>
      <c r="R111" s="20" t="s">
        <v>46</v>
      </c>
      <c r="S111" s="20" t="s">
        <v>155</v>
      </c>
      <c r="T111" s="20" t="s">
        <v>43</v>
      </c>
      <c r="U111" s="20"/>
      <c r="V111" s="23">
        <v>101638342728</v>
      </c>
      <c r="W111" s="20">
        <v>3811951772</v>
      </c>
      <c r="X111" s="20" t="s">
        <v>966</v>
      </c>
      <c r="Y111" s="23" t="e">
        <f>VLOOKUP(#REF!,[2]Sheet4!$C$2:$F$141,4,0)</f>
        <v>#REF!</v>
      </c>
      <c r="Z111" s="23" t="s">
        <v>976</v>
      </c>
      <c r="AA111" s="20">
        <v>9890125829</v>
      </c>
      <c r="AB111" s="20" t="s">
        <v>1185</v>
      </c>
      <c r="AC111" s="20"/>
      <c r="AD111" s="20" t="s">
        <v>821</v>
      </c>
      <c r="AE111" s="20">
        <v>9890125829</v>
      </c>
      <c r="AF111" s="20"/>
      <c r="AG111" s="20" t="s">
        <v>954</v>
      </c>
      <c r="AH111" s="20" t="s">
        <v>758</v>
      </c>
      <c r="AI111" s="5" t="s">
        <v>799</v>
      </c>
      <c r="AJ111" s="20" t="s">
        <v>781</v>
      </c>
      <c r="AK111" s="20">
        <v>424305</v>
      </c>
      <c r="AL111" s="20" t="s">
        <v>954</v>
      </c>
      <c r="AM111" s="20" t="s">
        <v>758</v>
      </c>
      <c r="AN111" s="5" t="s">
        <v>799</v>
      </c>
      <c r="AO111" s="20" t="s">
        <v>781</v>
      </c>
      <c r="AP111" s="20">
        <v>424305</v>
      </c>
      <c r="AQ111" s="20" t="s">
        <v>985</v>
      </c>
      <c r="AR111" s="23">
        <v>3910071680</v>
      </c>
      <c r="AS111" s="20" t="s">
        <v>897</v>
      </c>
      <c r="AT111" s="22" t="s">
        <v>807</v>
      </c>
    </row>
    <row r="112" spans="1:46" x14ac:dyDescent="0.25">
      <c r="A112" s="20">
        <v>107</v>
      </c>
      <c r="B112" s="21" t="s">
        <v>796</v>
      </c>
      <c r="C112" s="20" t="s">
        <v>50</v>
      </c>
      <c r="D112" s="22" t="s">
        <v>437</v>
      </c>
      <c r="E112" s="22" t="s">
        <v>483</v>
      </c>
      <c r="F112" s="22" t="s">
        <v>828</v>
      </c>
      <c r="G112" s="20" t="s">
        <v>64</v>
      </c>
      <c r="H112" s="20"/>
      <c r="I112" s="20" t="s">
        <v>834</v>
      </c>
      <c r="J112" s="31">
        <v>45849</v>
      </c>
      <c r="K112" s="20" t="s">
        <v>67</v>
      </c>
      <c r="L112" s="20" t="s">
        <v>69</v>
      </c>
      <c r="M112" s="20" t="s">
        <v>539</v>
      </c>
      <c r="N112" s="4" t="s">
        <v>144</v>
      </c>
      <c r="O112" s="20" t="s">
        <v>542</v>
      </c>
      <c r="P112" s="20" t="s">
        <v>68</v>
      </c>
      <c r="Q112" s="23" t="s">
        <v>545</v>
      </c>
      <c r="R112" s="20" t="s">
        <v>46</v>
      </c>
      <c r="S112" s="20" t="s">
        <v>155</v>
      </c>
      <c r="T112" s="20" t="s">
        <v>43</v>
      </c>
      <c r="U112" s="20"/>
      <c r="V112" s="23">
        <v>100678847755</v>
      </c>
      <c r="W112" s="20">
        <v>3312812656</v>
      </c>
      <c r="X112" s="20" t="s">
        <v>967</v>
      </c>
      <c r="Y112" s="23" t="e">
        <f>VLOOKUP(#REF!,[2]Sheet4!$C$2:$F$141,4,0)</f>
        <v>#REF!</v>
      </c>
      <c r="Z112" s="23" t="s">
        <v>977</v>
      </c>
      <c r="AA112" s="20">
        <v>8766911259</v>
      </c>
      <c r="AB112" s="20" t="s">
        <v>1319</v>
      </c>
      <c r="AC112" s="20"/>
      <c r="AD112" s="20" t="s">
        <v>483</v>
      </c>
      <c r="AE112" s="20">
        <v>8766911259</v>
      </c>
      <c r="AF112" s="20"/>
      <c r="AG112" s="20" t="s">
        <v>956</v>
      </c>
      <c r="AH112" s="20" t="s">
        <v>758</v>
      </c>
      <c r="AI112" s="5" t="s">
        <v>799</v>
      </c>
      <c r="AJ112" s="20" t="s">
        <v>781</v>
      </c>
      <c r="AK112" s="20">
        <v>424305</v>
      </c>
      <c r="AL112" s="20" t="s">
        <v>956</v>
      </c>
      <c r="AM112" s="20" t="s">
        <v>758</v>
      </c>
      <c r="AN112" s="5" t="s">
        <v>799</v>
      </c>
      <c r="AO112" s="20" t="s">
        <v>781</v>
      </c>
      <c r="AP112" s="20">
        <v>424305</v>
      </c>
      <c r="AQ112" s="20" t="s">
        <v>985</v>
      </c>
      <c r="AR112" s="23">
        <v>2256636030</v>
      </c>
      <c r="AS112" s="20" t="s">
        <v>897</v>
      </c>
      <c r="AT112" s="22" t="s">
        <v>808</v>
      </c>
    </row>
    <row r="113" spans="1:46" x14ac:dyDescent="0.25">
      <c r="A113" s="20">
        <v>108</v>
      </c>
      <c r="B113" s="21" t="s">
        <v>797</v>
      </c>
      <c r="C113" s="20" t="s">
        <v>50</v>
      </c>
      <c r="D113" s="22" t="s">
        <v>398</v>
      </c>
      <c r="E113" s="22" t="s">
        <v>433</v>
      </c>
      <c r="F113" s="22" t="s">
        <v>510</v>
      </c>
      <c r="G113" s="20" t="s">
        <v>64</v>
      </c>
      <c r="H113" s="20"/>
      <c r="I113" s="20" t="s">
        <v>835</v>
      </c>
      <c r="J113" s="31">
        <v>45849</v>
      </c>
      <c r="K113" s="20" t="s">
        <v>67</v>
      </c>
      <c r="L113" s="20" t="s">
        <v>69</v>
      </c>
      <c r="M113" s="42" t="s">
        <v>996</v>
      </c>
      <c r="N113" s="4" t="s">
        <v>144</v>
      </c>
      <c r="O113" s="20" t="s">
        <v>542</v>
      </c>
      <c r="P113" s="20" t="s">
        <v>68</v>
      </c>
      <c r="Q113" s="23" t="s">
        <v>545</v>
      </c>
      <c r="R113" s="20" t="s">
        <v>46</v>
      </c>
      <c r="S113" s="20" t="s">
        <v>155</v>
      </c>
      <c r="T113" s="20" t="s">
        <v>43</v>
      </c>
      <c r="U113" s="20"/>
      <c r="V113" s="23">
        <v>10226948329</v>
      </c>
      <c r="W113" s="29"/>
      <c r="X113" s="20" t="s">
        <v>968</v>
      </c>
      <c r="Y113" s="23" t="e">
        <f>VLOOKUP(#REF!,[2]Sheet4!$C$2:$F$141,4,0)</f>
        <v>#REF!</v>
      </c>
      <c r="Z113" s="23" t="s">
        <v>978</v>
      </c>
      <c r="AA113" s="20">
        <v>9657908751</v>
      </c>
      <c r="AB113" s="20" t="s">
        <v>1319</v>
      </c>
      <c r="AC113" s="20"/>
      <c r="AD113" s="20" t="s">
        <v>433</v>
      </c>
      <c r="AE113" s="20">
        <v>9657908751</v>
      </c>
      <c r="AF113" s="20"/>
      <c r="AG113" s="20" t="s">
        <v>957</v>
      </c>
      <c r="AH113" s="20" t="s">
        <v>758</v>
      </c>
      <c r="AI113" s="5" t="s">
        <v>799</v>
      </c>
      <c r="AJ113" s="20" t="s">
        <v>781</v>
      </c>
      <c r="AK113" s="20">
        <v>425408</v>
      </c>
      <c r="AL113" s="20" t="s">
        <v>957</v>
      </c>
      <c r="AM113" s="20" t="s">
        <v>758</v>
      </c>
      <c r="AN113" s="5" t="s">
        <v>799</v>
      </c>
      <c r="AO113" s="20" t="s">
        <v>781</v>
      </c>
      <c r="AP113" s="20">
        <v>425408</v>
      </c>
      <c r="AQ113" s="20" t="s">
        <v>987</v>
      </c>
      <c r="AR113" s="23">
        <v>36887972283</v>
      </c>
      <c r="AS113" s="20" t="s">
        <v>896</v>
      </c>
      <c r="AT113" s="22" t="s">
        <v>809</v>
      </c>
    </row>
    <row r="114" spans="1:46" x14ac:dyDescent="0.25">
      <c r="A114" s="20">
        <v>109</v>
      </c>
      <c r="B114" s="21" t="s">
        <v>798</v>
      </c>
      <c r="C114" s="20" t="s">
        <v>50</v>
      </c>
      <c r="D114" s="22" t="s">
        <v>411</v>
      </c>
      <c r="E114" s="22" t="s">
        <v>822</v>
      </c>
      <c r="F114" s="22" t="s">
        <v>496</v>
      </c>
      <c r="G114" s="20" t="s">
        <v>64</v>
      </c>
      <c r="H114" s="20"/>
      <c r="I114" s="31">
        <v>35126</v>
      </c>
      <c r="J114" s="31">
        <v>45849</v>
      </c>
      <c r="K114" s="20" t="s">
        <v>67</v>
      </c>
      <c r="L114" s="20" t="s">
        <v>69</v>
      </c>
      <c r="M114" s="20" t="s">
        <v>539</v>
      </c>
      <c r="N114" s="4" t="s">
        <v>144</v>
      </c>
      <c r="O114" s="20" t="s">
        <v>542</v>
      </c>
      <c r="P114" s="20" t="s">
        <v>68</v>
      </c>
      <c r="Q114" s="23" t="s">
        <v>545</v>
      </c>
      <c r="R114" s="20" t="s">
        <v>46</v>
      </c>
      <c r="S114" s="20" t="s">
        <v>155</v>
      </c>
      <c r="T114" s="20" t="s">
        <v>43</v>
      </c>
      <c r="U114" s="20"/>
      <c r="V114" s="23">
        <v>100935853651</v>
      </c>
      <c r="W114" s="20">
        <v>3811818877</v>
      </c>
      <c r="X114" s="20" t="s">
        <v>969</v>
      </c>
      <c r="Y114" s="23" t="e">
        <f>VLOOKUP(#REF!,[2]Sheet4!$C$2:$F$141,4,0)</f>
        <v>#REF!</v>
      </c>
      <c r="Z114" s="23" t="s">
        <v>979</v>
      </c>
      <c r="AA114" s="20">
        <v>8329937882</v>
      </c>
      <c r="AB114" s="20" t="s">
        <v>1185</v>
      </c>
      <c r="AC114" s="20"/>
      <c r="AD114" s="20" t="s">
        <v>822</v>
      </c>
      <c r="AE114" s="20">
        <v>8329937882</v>
      </c>
      <c r="AF114" s="20"/>
      <c r="AG114" s="31" t="s">
        <v>955</v>
      </c>
      <c r="AH114" s="20" t="s">
        <v>758</v>
      </c>
      <c r="AI114" s="5" t="s">
        <v>799</v>
      </c>
      <c r="AJ114" s="20" t="s">
        <v>781</v>
      </c>
      <c r="AK114" s="20">
        <v>425408</v>
      </c>
      <c r="AL114" s="31" t="s">
        <v>955</v>
      </c>
      <c r="AM114" s="20" t="s">
        <v>758</v>
      </c>
      <c r="AN114" s="5" t="s">
        <v>799</v>
      </c>
      <c r="AO114" s="20" t="s">
        <v>781</v>
      </c>
      <c r="AP114" s="20">
        <v>425408</v>
      </c>
      <c r="AQ114" s="20" t="s">
        <v>988</v>
      </c>
      <c r="AR114" s="23">
        <v>35383896656</v>
      </c>
      <c r="AS114" s="20" t="s">
        <v>895</v>
      </c>
      <c r="AT114" s="22" t="s">
        <v>810</v>
      </c>
    </row>
    <row r="115" spans="1:46" x14ac:dyDescent="0.25">
      <c r="A115" s="20">
        <v>110</v>
      </c>
      <c r="B115" s="21" t="s">
        <v>997</v>
      </c>
      <c r="C115" s="20" t="s">
        <v>50</v>
      </c>
      <c r="D115" s="22" t="s">
        <v>382</v>
      </c>
      <c r="E115" s="22" t="s">
        <v>816</v>
      </c>
      <c r="F115" s="22" t="s">
        <v>524</v>
      </c>
      <c r="G115" s="20" t="s">
        <v>64</v>
      </c>
      <c r="H115" s="20"/>
      <c r="I115" s="20" t="s">
        <v>1003</v>
      </c>
      <c r="J115" s="20" t="s">
        <v>1004</v>
      </c>
      <c r="K115" s="20" t="s">
        <v>67</v>
      </c>
      <c r="L115" s="20" t="s">
        <v>69</v>
      </c>
      <c r="M115" s="20" t="s">
        <v>96</v>
      </c>
      <c r="N115" s="4" t="s">
        <v>144</v>
      </c>
      <c r="O115" s="20" t="s">
        <v>542</v>
      </c>
      <c r="P115" s="20" t="s">
        <v>68</v>
      </c>
      <c r="Q115" s="23" t="s">
        <v>545</v>
      </c>
      <c r="R115" s="20" t="s">
        <v>46</v>
      </c>
      <c r="S115" s="20" t="s">
        <v>155</v>
      </c>
      <c r="T115" s="20" t="s">
        <v>43</v>
      </c>
      <c r="U115" s="20"/>
      <c r="V115" s="41"/>
      <c r="W115" s="29"/>
      <c r="X115" s="20" t="s">
        <v>995</v>
      </c>
      <c r="Y115" s="23" t="e">
        <f>VLOOKUP(#REF!,[2]Sheet4!$C$2:$F$141,4,0)</f>
        <v>#REF!</v>
      </c>
      <c r="Z115" s="23">
        <v>410478305812</v>
      </c>
      <c r="AA115" s="20">
        <v>7741850561</v>
      </c>
      <c r="AB115" s="20" t="s">
        <v>1319</v>
      </c>
      <c r="AC115" s="20"/>
      <c r="AD115" s="20" t="s">
        <v>816</v>
      </c>
      <c r="AE115" s="20">
        <v>7741850561</v>
      </c>
      <c r="AF115" s="20"/>
      <c r="AG115" s="25" t="s">
        <v>704</v>
      </c>
      <c r="AH115" s="20" t="s">
        <v>758</v>
      </c>
      <c r="AI115" s="5" t="s">
        <v>799</v>
      </c>
      <c r="AJ115" s="20" t="s">
        <v>779</v>
      </c>
      <c r="AK115" s="20">
        <v>425408</v>
      </c>
      <c r="AL115" s="25" t="s">
        <v>704</v>
      </c>
      <c r="AM115" s="20" t="s">
        <v>758</v>
      </c>
      <c r="AN115" s="5" t="s">
        <v>799</v>
      </c>
      <c r="AO115" s="20" t="s">
        <v>779</v>
      </c>
      <c r="AP115" s="20">
        <v>425408</v>
      </c>
      <c r="AQ115" s="20" t="s">
        <v>981</v>
      </c>
      <c r="AR115" s="20">
        <v>80015954488</v>
      </c>
      <c r="AS115" s="20" t="s">
        <v>894</v>
      </c>
      <c r="AT115" s="22" t="s">
        <v>1015</v>
      </c>
    </row>
    <row r="116" spans="1:46" x14ac:dyDescent="0.25">
      <c r="A116" s="20">
        <v>111</v>
      </c>
      <c r="B116" s="21" t="s">
        <v>998</v>
      </c>
      <c r="C116" s="20" t="s">
        <v>50</v>
      </c>
      <c r="D116" s="22" t="s">
        <v>349</v>
      </c>
      <c r="E116" s="22" t="s">
        <v>1001</v>
      </c>
      <c r="F116" s="22" t="s">
        <v>489</v>
      </c>
      <c r="G116" s="20" t="s">
        <v>64</v>
      </c>
      <c r="H116" s="20"/>
      <c r="I116" s="20" t="s">
        <v>1014</v>
      </c>
      <c r="J116" s="28" t="s">
        <v>1239</v>
      </c>
      <c r="K116" s="20" t="s">
        <v>67</v>
      </c>
      <c r="L116" s="20" t="s">
        <v>69</v>
      </c>
      <c r="M116" s="20" t="s">
        <v>539</v>
      </c>
      <c r="N116" s="4" t="s">
        <v>144</v>
      </c>
      <c r="O116" s="20" t="s">
        <v>542</v>
      </c>
      <c r="P116" s="20" t="s">
        <v>68</v>
      </c>
      <c r="Q116" s="23" t="s">
        <v>545</v>
      </c>
      <c r="R116" s="20" t="s">
        <v>46</v>
      </c>
      <c r="S116" s="20" t="s">
        <v>155</v>
      </c>
      <c r="T116" s="20" t="s">
        <v>43</v>
      </c>
      <c r="U116" s="20"/>
      <c r="V116" s="41">
        <v>102282937608</v>
      </c>
      <c r="W116" s="29"/>
      <c r="X116" s="20" t="s">
        <v>1020</v>
      </c>
      <c r="Y116" s="23" t="e">
        <f>VLOOKUP(#REF!,[2]Sheet4!$C$2:$F$141,4,0)</f>
        <v>#REF!</v>
      </c>
      <c r="Z116" s="23">
        <v>862459417808</v>
      </c>
      <c r="AA116" s="20">
        <v>7620028033</v>
      </c>
      <c r="AB116" s="20" t="s">
        <v>1185</v>
      </c>
      <c r="AC116" s="20"/>
      <c r="AD116" s="20" t="s">
        <v>1001</v>
      </c>
      <c r="AE116" s="20">
        <v>7620028033</v>
      </c>
      <c r="AF116" s="20"/>
      <c r="AG116" s="34" t="s">
        <v>1018</v>
      </c>
      <c r="AH116" s="20" t="s">
        <v>758</v>
      </c>
      <c r="AI116" s="5" t="s">
        <v>799</v>
      </c>
      <c r="AJ116" s="20" t="s">
        <v>787</v>
      </c>
      <c r="AK116" s="20">
        <v>424305</v>
      </c>
      <c r="AL116" s="34" t="s">
        <v>1018</v>
      </c>
      <c r="AM116" s="20" t="s">
        <v>758</v>
      </c>
      <c r="AN116" s="5" t="s">
        <v>799</v>
      </c>
      <c r="AO116" s="20" t="s">
        <v>787</v>
      </c>
      <c r="AP116" s="20">
        <v>424305</v>
      </c>
      <c r="AQ116" s="20" t="s">
        <v>993</v>
      </c>
      <c r="AR116" s="20">
        <v>36472139926</v>
      </c>
      <c r="AS116" s="20" t="s">
        <v>895</v>
      </c>
      <c r="AT116" s="22" t="s">
        <v>1016</v>
      </c>
    </row>
    <row r="117" spans="1:46" x14ac:dyDescent="0.25">
      <c r="A117" s="20">
        <v>112</v>
      </c>
      <c r="B117" s="21" t="s">
        <v>999</v>
      </c>
      <c r="C117" s="20" t="s">
        <v>50</v>
      </c>
      <c r="D117" s="22" t="s">
        <v>382</v>
      </c>
      <c r="E117" s="22" t="s">
        <v>422</v>
      </c>
      <c r="F117" s="22" t="s">
        <v>1002</v>
      </c>
      <c r="G117" s="20" t="s">
        <v>64</v>
      </c>
      <c r="H117" s="20"/>
      <c r="I117" s="31">
        <v>38722</v>
      </c>
      <c r="J117" s="28" t="s">
        <v>1239</v>
      </c>
      <c r="K117" s="20" t="s">
        <v>67</v>
      </c>
      <c r="L117" s="20" t="s">
        <v>69</v>
      </c>
      <c r="M117" s="13" t="s">
        <v>539</v>
      </c>
      <c r="N117" s="4" t="s">
        <v>144</v>
      </c>
      <c r="O117" s="20" t="s">
        <v>542</v>
      </c>
      <c r="P117" s="20" t="s">
        <v>68</v>
      </c>
      <c r="Q117" s="23" t="s">
        <v>545</v>
      </c>
      <c r="R117" s="20" t="s">
        <v>46</v>
      </c>
      <c r="S117" s="20" t="s">
        <v>155</v>
      </c>
      <c r="T117" s="20" t="s">
        <v>43</v>
      </c>
      <c r="U117" s="20"/>
      <c r="V117" s="41"/>
      <c r="W117" s="29"/>
      <c r="X117" s="20" t="s">
        <v>1013</v>
      </c>
      <c r="Y117" s="23" t="e">
        <f>VLOOKUP(#REF!,[2]Sheet4!$C$2:$F$141,4,0)</f>
        <v>#REF!</v>
      </c>
      <c r="Z117" s="23">
        <v>982860864200</v>
      </c>
      <c r="AA117" s="20">
        <v>7822925054</v>
      </c>
      <c r="AB117" s="20" t="s">
        <v>1319</v>
      </c>
      <c r="AC117" s="20"/>
      <c r="AD117" s="20" t="s">
        <v>422</v>
      </c>
      <c r="AE117" s="20">
        <v>7822925054</v>
      </c>
      <c r="AF117" s="20"/>
      <c r="AG117" s="34" t="s">
        <v>1018</v>
      </c>
      <c r="AH117" s="20" t="s">
        <v>758</v>
      </c>
      <c r="AI117" s="5" t="s">
        <v>799</v>
      </c>
      <c r="AJ117" s="20" t="s">
        <v>787</v>
      </c>
      <c r="AK117" s="20">
        <v>424305</v>
      </c>
      <c r="AL117" s="34" t="s">
        <v>1018</v>
      </c>
      <c r="AM117" s="20" t="s">
        <v>758</v>
      </c>
      <c r="AN117" s="5" t="s">
        <v>799</v>
      </c>
      <c r="AO117" s="20" t="s">
        <v>787</v>
      </c>
      <c r="AP117" s="20">
        <v>424305</v>
      </c>
      <c r="AQ117" s="20" t="s">
        <v>988</v>
      </c>
      <c r="AR117" s="20">
        <v>37218055440</v>
      </c>
      <c r="AS117" s="20" t="s">
        <v>895</v>
      </c>
      <c r="AT117" s="22" t="s">
        <v>1017</v>
      </c>
    </row>
    <row r="118" spans="1:46" x14ac:dyDescent="0.25">
      <c r="A118" s="20">
        <v>113</v>
      </c>
      <c r="B118" s="21" t="s">
        <v>1000</v>
      </c>
      <c r="C118" s="20" t="s">
        <v>50</v>
      </c>
      <c r="D118" s="22" t="s">
        <v>1026</v>
      </c>
      <c r="E118" s="22" t="s">
        <v>455</v>
      </c>
      <c r="F118" s="22" t="s">
        <v>1027</v>
      </c>
      <c r="G118" s="20" t="s">
        <v>64</v>
      </c>
      <c r="H118" s="20"/>
      <c r="I118" s="43" t="s">
        <v>1206</v>
      </c>
      <c r="J118" s="28" t="s">
        <v>1240</v>
      </c>
      <c r="K118" s="20" t="s">
        <v>67</v>
      </c>
      <c r="L118" s="20" t="s">
        <v>69</v>
      </c>
      <c r="M118" s="4" t="s">
        <v>1329</v>
      </c>
      <c r="N118" s="4" t="s">
        <v>144</v>
      </c>
      <c r="O118" s="20" t="s">
        <v>542</v>
      </c>
      <c r="P118" s="20" t="s">
        <v>68</v>
      </c>
      <c r="Q118" s="23" t="s">
        <v>545</v>
      </c>
      <c r="R118" s="20" t="s">
        <v>46</v>
      </c>
      <c r="S118" s="20" t="s">
        <v>155</v>
      </c>
      <c r="T118" s="20" t="s">
        <v>43</v>
      </c>
      <c r="U118" s="20"/>
      <c r="V118" s="38" t="s">
        <v>1251</v>
      </c>
      <c r="W118" s="20"/>
      <c r="X118" s="20"/>
      <c r="Y118" s="23"/>
      <c r="Z118" s="37">
        <v>637514812200</v>
      </c>
      <c r="AA118" s="20">
        <v>7028023415</v>
      </c>
      <c r="AB118" s="20" t="s">
        <v>1319</v>
      </c>
      <c r="AC118" s="20"/>
      <c r="AD118" s="20" t="s">
        <v>455</v>
      </c>
      <c r="AE118" s="20">
        <v>7028023415</v>
      </c>
      <c r="AF118" s="20"/>
      <c r="AG118" s="36" t="s">
        <v>1186</v>
      </c>
      <c r="AH118" s="34" t="s">
        <v>786</v>
      </c>
      <c r="AI118" s="5" t="s">
        <v>799</v>
      </c>
      <c r="AJ118" s="20" t="s">
        <v>786</v>
      </c>
      <c r="AK118" s="20">
        <v>425412</v>
      </c>
      <c r="AL118" s="36" t="s">
        <v>1186</v>
      </c>
      <c r="AM118" s="34" t="s">
        <v>786</v>
      </c>
      <c r="AN118" s="5" t="s">
        <v>799</v>
      </c>
      <c r="AO118" s="20" t="s">
        <v>786</v>
      </c>
      <c r="AP118" s="20">
        <v>425412</v>
      </c>
      <c r="AQ118" s="28" t="s">
        <v>840</v>
      </c>
      <c r="AR118" s="37">
        <v>38299988869</v>
      </c>
      <c r="AS118" s="28" t="s">
        <v>905</v>
      </c>
      <c r="AT118" s="22" t="s">
        <v>1046</v>
      </c>
    </row>
    <row r="119" spans="1:46" x14ac:dyDescent="0.25">
      <c r="A119" s="20">
        <v>114</v>
      </c>
      <c r="B119" s="21" t="s">
        <v>1021</v>
      </c>
      <c r="C119" s="20" t="s">
        <v>50</v>
      </c>
      <c r="D119" s="22" t="s">
        <v>1028</v>
      </c>
      <c r="E119" s="22" t="s">
        <v>439</v>
      </c>
      <c r="F119" s="22" t="s">
        <v>493</v>
      </c>
      <c r="G119" s="20" t="s">
        <v>64</v>
      </c>
      <c r="H119" s="20"/>
      <c r="I119" s="43" t="s">
        <v>1207</v>
      </c>
      <c r="J119" s="28" t="s">
        <v>1241</v>
      </c>
      <c r="K119" s="20" t="s">
        <v>67</v>
      </c>
      <c r="L119" s="20" t="s">
        <v>69</v>
      </c>
      <c r="M119" s="13" t="s">
        <v>539</v>
      </c>
      <c r="N119" s="4" t="s">
        <v>144</v>
      </c>
      <c r="O119" s="20" t="s">
        <v>542</v>
      </c>
      <c r="P119" s="20" t="s">
        <v>68</v>
      </c>
      <c r="Q119" s="23" t="s">
        <v>545</v>
      </c>
      <c r="R119" s="20" t="s">
        <v>46</v>
      </c>
      <c r="S119" s="20" t="s">
        <v>155</v>
      </c>
      <c r="T119" s="20" t="s">
        <v>43</v>
      </c>
      <c r="U119" s="20"/>
      <c r="V119" s="38" t="s">
        <v>1252</v>
      </c>
      <c r="W119" s="29"/>
      <c r="X119" s="20"/>
      <c r="Y119" s="23"/>
      <c r="Z119" s="44">
        <v>813994670685</v>
      </c>
      <c r="AA119" s="20">
        <v>89993227645</v>
      </c>
      <c r="AB119" s="20" t="s">
        <v>1319</v>
      </c>
      <c r="AC119" s="20"/>
      <c r="AD119" s="20" t="s">
        <v>439</v>
      </c>
      <c r="AE119" s="20">
        <v>89993227645</v>
      </c>
      <c r="AF119" s="20"/>
      <c r="AG119" s="45" t="s">
        <v>1187</v>
      </c>
      <c r="AH119" s="5" t="s">
        <v>946</v>
      </c>
      <c r="AI119" s="5" t="s">
        <v>799</v>
      </c>
      <c r="AJ119" s="20" t="s">
        <v>787</v>
      </c>
      <c r="AK119" s="20">
        <v>425408</v>
      </c>
      <c r="AL119" s="45" t="s">
        <v>1187</v>
      </c>
      <c r="AM119" s="5" t="s">
        <v>946</v>
      </c>
      <c r="AN119" s="5" t="s">
        <v>799</v>
      </c>
      <c r="AO119" s="20" t="s">
        <v>787</v>
      </c>
      <c r="AP119" s="20">
        <v>425408</v>
      </c>
      <c r="AQ119" s="46" t="s">
        <v>841</v>
      </c>
      <c r="AR119" s="44">
        <v>5292093960</v>
      </c>
      <c r="AS119" s="46" t="s">
        <v>896</v>
      </c>
      <c r="AT119" s="22" t="s">
        <v>1047</v>
      </c>
    </row>
    <row r="120" spans="1:46" x14ac:dyDescent="0.25">
      <c r="A120" s="20">
        <v>115</v>
      </c>
      <c r="B120" s="21" t="s">
        <v>1022</v>
      </c>
      <c r="C120" s="20" t="s">
        <v>50</v>
      </c>
      <c r="D120" s="22" t="s">
        <v>1029</v>
      </c>
      <c r="E120" s="22" t="s">
        <v>1033</v>
      </c>
      <c r="F120" s="22" t="s">
        <v>1030</v>
      </c>
      <c r="G120" s="20" t="s">
        <v>64</v>
      </c>
      <c r="H120" s="20"/>
      <c r="I120" s="43" t="s">
        <v>1208</v>
      </c>
      <c r="J120" s="28" t="s">
        <v>1242</v>
      </c>
      <c r="K120" s="20" t="s">
        <v>67</v>
      </c>
      <c r="L120" s="20" t="s">
        <v>69</v>
      </c>
      <c r="M120" s="14" t="s">
        <v>540</v>
      </c>
      <c r="N120" s="4" t="s">
        <v>144</v>
      </c>
      <c r="O120" s="20" t="s">
        <v>542</v>
      </c>
      <c r="P120" s="20" t="s">
        <v>68</v>
      </c>
      <c r="Q120" s="23" t="s">
        <v>545</v>
      </c>
      <c r="R120" s="20" t="s">
        <v>46</v>
      </c>
      <c r="S120" s="20" t="s">
        <v>155</v>
      </c>
      <c r="T120" s="20" t="s">
        <v>43</v>
      </c>
      <c r="U120" s="20"/>
      <c r="V120" s="38" t="s">
        <v>1253</v>
      </c>
      <c r="W120" s="29"/>
      <c r="X120" s="20"/>
      <c r="Y120" s="23"/>
      <c r="Z120" s="44">
        <v>822252510264</v>
      </c>
      <c r="AA120" s="20">
        <v>9561075655</v>
      </c>
      <c r="AB120" s="20" t="s">
        <v>1319</v>
      </c>
      <c r="AC120" s="20"/>
      <c r="AD120" s="20" t="s">
        <v>1033</v>
      </c>
      <c r="AE120" s="20">
        <v>9561075655</v>
      </c>
      <c r="AF120" s="20"/>
      <c r="AG120" s="45" t="s">
        <v>1188</v>
      </c>
      <c r="AH120" s="20" t="s">
        <v>758</v>
      </c>
      <c r="AI120" s="5" t="s">
        <v>799</v>
      </c>
      <c r="AJ120" s="20" t="s">
        <v>787</v>
      </c>
      <c r="AK120" s="20">
        <v>424305</v>
      </c>
      <c r="AL120" s="45" t="s">
        <v>1188</v>
      </c>
      <c r="AM120" s="20" t="s">
        <v>758</v>
      </c>
      <c r="AN120" s="5" t="s">
        <v>799</v>
      </c>
      <c r="AO120" s="20" t="s">
        <v>787</v>
      </c>
      <c r="AP120" s="20">
        <v>424305</v>
      </c>
      <c r="AQ120" s="46" t="s">
        <v>850</v>
      </c>
      <c r="AR120" s="47" t="s">
        <v>1243</v>
      </c>
      <c r="AS120" s="46" t="s">
        <v>922</v>
      </c>
      <c r="AT120" s="22" t="s">
        <v>1048</v>
      </c>
    </row>
    <row r="121" spans="1:46" x14ac:dyDescent="0.25">
      <c r="A121" s="20">
        <v>116</v>
      </c>
      <c r="B121" s="21" t="s">
        <v>1023</v>
      </c>
      <c r="C121" s="20" t="s">
        <v>50</v>
      </c>
      <c r="D121" s="22" t="s">
        <v>1034</v>
      </c>
      <c r="E121" s="22" t="s">
        <v>1035</v>
      </c>
      <c r="F121" s="22" t="s">
        <v>1031</v>
      </c>
      <c r="G121" s="20" t="s">
        <v>64</v>
      </c>
      <c r="H121" s="20"/>
      <c r="I121" s="43" t="s">
        <v>1209</v>
      </c>
      <c r="J121" s="20" t="s">
        <v>1311</v>
      </c>
      <c r="K121" s="20" t="s">
        <v>67</v>
      </c>
      <c r="L121" s="20" t="s">
        <v>69</v>
      </c>
      <c r="M121" s="13" t="s">
        <v>539</v>
      </c>
      <c r="N121" s="4" t="s">
        <v>144</v>
      </c>
      <c r="O121" s="20" t="s">
        <v>542</v>
      </c>
      <c r="P121" s="20" t="s">
        <v>68</v>
      </c>
      <c r="Q121" s="23" t="s">
        <v>545</v>
      </c>
      <c r="R121" s="20" t="s">
        <v>46</v>
      </c>
      <c r="S121" s="20" t="s">
        <v>155</v>
      </c>
      <c r="T121" s="20" t="s">
        <v>43</v>
      </c>
      <c r="U121" s="20"/>
      <c r="V121" s="38" t="s">
        <v>1254</v>
      </c>
      <c r="W121" s="29"/>
      <c r="X121" s="20"/>
      <c r="Y121" s="23"/>
      <c r="Z121" s="44">
        <v>385946376638</v>
      </c>
      <c r="AA121" s="20">
        <v>9890153528</v>
      </c>
      <c r="AB121" s="20" t="s">
        <v>1185</v>
      </c>
      <c r="AC121" s="20"/>
      <c r="AD121" s="20" t="s">
        <v>1035</v>
      </c>
      <c r="AE121" s="20">
        <v>9890153528</v>
      </c>
      <c r="AF121" s="20"/>
      <c r="AG121" s="45" t="s">
        <v>1188</v>
      </c>
      <c r="AH121" s="20" t="s">
        <v>758</v>
      </c>
      <c r="AI121" s="5" t="s">
        <v>799</v>
      </c>
      <c r="AJ121" s="20" t="s">
        <v>787</v>
      </c>
      <c r="AK121" s="20">
        <v>424305</v>
      </c>
      <c r="AL121" s="45" t="s">
        <v>1188</v>
      </c>
      <c r="AM121" s="20" t="s">
        <v>758</v>
      </c>
      <c r="AN121" s="5" t="s">
        <v>799</v>
      </c>
      <c r="AO121" s="20" t="s">
        <v>787</v>
      </c>
      <c r="AP121" s="20">
        <v>424305</v>
      </c>
      <c r="AQ121" s="46" t="s">
        <v>841</v>
      </c>
      <c r="AR121" s="44">
        <v>3910071840</v>
      </c>
      <c r="AS121" s="46" t="s">
        <v>897</v>
      </c>
      <c r="AT121" s="22" t="s">
        <v>1049</v>
      </c>
    </row>
    <row r="122" spans="1:46" x14ac:dyDescent="0.25">
      <c r="A122" s="20">
        <v>117</v>
      </c>
      <c r="B122" s="21" t="s">
        <v>1024</v>
      </c>
      <c r="C122" s="20" t="s">
        <v>50</v>
      </c>
      <c r="D122" s="22" t="s">
        <v>1057</v>
      </c>
      <c r="E122" s="22" t="s">
        <v>1060</v>
      </c>
      <c r="F122" s="22" t="s">
        <v>537</v>
      </c>
      <c r="G122" s="20" t="s">
        <v>64</v>
      </c>
      <c r="H122" s="20"/>
      <c r="I122" s="43" t="s">
        <v>1210</v>
      </c>
      <c r="J122" s="20" t="s">
        <v>1311</v>
      </c>
      <c r="K122" s="20" t="s">
        <v>67</v>
      </c>
      <c r="L122" s="20" t="s">
        <v>69</v>
      </c>
      <c r="M122" s="14" t="s">
        <v>1329</v>
      </c>
      <c r="N122" s="4" t="s">
        <v>144</v>
      </c>
      <c r="O122" s="20" t="s">
        <v>542</v>
      </c>
      <c r="P122" s="20" t="s">
        <v>68</v>
      </c>
      <c r="Q122" s="23" t="s">
        <v>545</v>
      </c>
      <c r="R122" s="20" t="s">
        <v>46</v>
      </c>
      <c r="S122" s="20" t="s">
        <v>155</v>
      </c>
      <c r="T122" s="20" t="s">
        <v>43</v>
      </c>
      <c r="U122" s="20"/>
      <c r="V122" s="38" t="s">
        <v>1255</v>
      </c>
      <c r="W122" s="29"/>
      <c r="X122" s="20"/>
      <c r="Y122" s="23"/>
      <c r="Z122" s="44">
        <v>527306028306</v>
      </c>
      <c r="AA122" s="20">
        <v>8698129992</v>
      </c>
      <c r="AB122" s="20" t="s">
        <v>1319</v>
      </c>
      <c r="AC122" s="20"/>
      <c r="AD122" s="20" t="s">
        <v>1060</v>
      </c>
      <c r="AE122" s="20">
        <v>8698129992</v>
      </c>
      <c r="AF122" s="20"/>
      <c r="AG122" s="45" t="s">
        <v>1188</v>
      </c>
      <c r="AH122" s="20" t="s">
        <v>758</v>
      </c>
      <c r="AI122" s="5" t="s">
        <v>799</v>
      </c>
      <c r="AJ122" s="20" t="s">
        <v>787</v>
      </c>
      <c r="AK122" s="20">
        <v>424305</v>
      </c>
      <c r="AL122" s="45" t="s">
        <v>1188</v>
      </c>
      <c r="AM122" s="20" t="s">
        <v>758</v>
      </c>
      <c r="AN122" s="5" t="s">
        <v>799</v>
      </c>
      <c r="AO122" s="20" t="s">
        <v>787</v>
      </c>
      <c r="AP122" s="20">
        <v>424305</v>
      </c>
      <c r="AQ122" s="46" t="s">
        <v>840</v>
      </c>
      <c r="AR122" s="44">
        <v>35027200910</v>
      </c>
      <c r="AS122" s="46" t="s">
        <v>898</v>
      </c>
      <c r="AT122" s="22" t="s">
        <v>1050</v>
      </c>
    </row>
    <row r="123" spans="1:46" x14ac:dyDescent="0.25">
      <c r="A123" s="20">
        <v>118</v>
      </c>
      <c r="B123" s="21" t="s">
        <v>1025</v>
      </c>
      <c r="C123" s="20" t="s">
        <v>50</v>
      </c>
      <c r="D123" s="22" t="s">
        <v>398</v>
      </c>
      <c r="E123" s="22" t="s">
        <v>1061</v>
      </c>
      <c r="F123" s="22" t="s">
        <v>1032</v>
      </c>
      <c r="G123" s="20" t="s">
        <v>64</v>
      </c>
      <c r="H123" s="20"/>
      <c r="I123" s="28" t="s">
        <v>1211</v>
      </c>
      <c r="J123" s="20" t="s">
        <v>1311</v>
      </c>
      <c r="K123" s="20" t="s">
        <v>67</v>
      </c>
      <c r="L123" s="20" t="s">
        <v>69</v>
      </c>
      <c r="M123" s="14" t="s">
        <v>539</v>
      </c>
      <c r="N123" s="4" t="s">
        <v>144</v>
      </c>
      <c r="O123" s="20" t="s">
        <v>542</v>
      </c>
      <c r="P123" s="20" t="s">
        <v>68</v>
      </c>
      <c r="Q123" s="23" t="s">
        <v>545</v>
      </c>
      <c r="R123" s="20" t="s">
        <v>46</v>
      </c>
      <c r="S123" s="20" t="s">
        <v>155</v>
      </c>
      <c r="T123" s="20" t="s">
        <v>43</v>
      </c>
      <c r="U123" s="20"/>
      <c r="V123" s="38" t="s">
        <v>1256</v>
      </c>
      <c r="W123" s="29"/>
      <c r="X123" s="20"/>
      <c r="Y123" s="23"/>
      <c r="Z123" s="44">
        <v>230129196015</v>
      </c>
      <c r="AA123" s="20">
        <v>8459122926</v>
      </c>
      <c r="AB123" s="20" t="s">
        <v>1319</v>
      </c>
      <c r="AC123" s="20"/>
      <c r="AD123" s="20" t="s">
        <v>1061</v>
      </c>
      <c r="AE123" s="20">
        <v>8459122926</v>
      </c>
      <c r="AF123" s="20"/>
      <c r="AG123" s="45" t="s">
        <v>1189</v>
      </c>
      <c r="AH123" s="20" t="s">
        <v>758</v>
      </c>
      <c r="AI123" s="5" t="s">
        <v>799</v>
      </c>
      <c r="AJ123" s="20" t="s">
        <v>787</v>
      </c>
      <c r="AK123" s="20">
        <v>424305</v>
      </c>
      <c r="AL123" s="45" t="s">
        <v>1189</v>
      </c>
      <c r="AM123" s="20" t="s">
        <v>758</v>
      </c>
      <c r="AN123" s="5" t="s">
        <v>799</v>
      </c>
      <c r="AO123" s="20" t="s">
        <v>787</v>
      </c>
      <c r="AP123" s="20">
        <v>424305</v>
      </c>
      <c r="AQ123" s="46" t="s">
        <v>841</v>
      </c>
      <c r="AR123" s="44">
        <v>5164454065</v>
      </c>
      <c r="AS123" s="46" t="s">
        <v>897</v>
      </c>
      <c r="AT123" s="22" t="s">
        <v>1051</v>
      </c>
    </row>
    <row r="124" spans="1:46" x14ac:dyDescent="0.25">
      <c r="A124" s="20">
        <v>119</v>
      </c>
      <c r="B124" s="21" t="s">
        <v>1041</v>
      </c>
      <c r="C124" s="20" t="s">
        <v>50</v>
      </c>
      <c r="D124" s="22" t="s">
        <v>350</v>
      </c>
      <c r="E124" s="22" t="s">
        <v>440</v>
      </c>
      <c r="F124" s="22" t="s">
        <v>496</v>
      </c>
      <c r="G124" s="20" t="s">
        <v>64</v>
      </c>
      <c r="H124" s="20"/>
      <c r="I124" s="28" t="s">
        <v>1212</v>
      </c>
      <c r="J124" s="20" t="s">
        <v>1312</v>
      </c>
      <c r="K124" s="20" t="s">
        <v>67</v>
      </c>
      <c r="L124" s="20" t="s">
        <v>69</v>
      </c>
      <c r="M124" s="14" t="s">
        <v>541</v>
      </c>
      <c r="N124" s="4" t="s">
        <v>144</v>
      </c>
      <c r="O124" s="20" t="s">
        <v>542</v>
      </c>
      <c r="P124" s="20" t="s">
        <v>68</v>
      </c>
      <c r="Q124" s="23" t="s">
        <v>545</v>
      </c>
      <c r="R124" s="20" t="s">
        <v>46</v>
      </c>
      <c r="S124" s="20" t="s">
        <v>155</v>
      </c>
      <c r="T124" s="20" t="s">
        <v>43</v>
      </c>
      <c r="U124" s="20"/>
      <c r="V124" s="38" t="s">
        <v>1257</v>
      </c>
      <c r="W124" s="29"/>
      <c r="X124" s="20"/>
      <c r="Y124" s="23"/>
      <c r="Z124" s="44">
        <v>642036788414</v>
      </c>
      <c r="AA124" s="20">
        <v>9356902064</v>
      </c>
      <c r="AB124" s="20" t="s">
        <v>1319</v>
      </c>
      <c r="AC124" s="20"/>
      <c r="AD124" s="20" t="s">
        <v>440</v>
      </c>
      <c r="AE124" s="20">
        <v>9356902064</v>
      </c>
      <c r="AF124" s="20"/>
      <c r="AG124" s="34" t="s">
        <v>1205</v>
      </c>
      <c r="AH124" s="20" t="s">
        <v>758</v>
      </c>
      <c r="AI124" s="5" t="s">
        <v>799</v>
      </c>
      <c r="AJ124" s="20" t="s">
        <v>786</v>
      </c>
      <c r="AK124" s="20">
        <v>425412</v>
      </c>
      <c r="AL124" s="34" t="s">
        <v>1205</v>
      </c>
      <c r="AM124" s="20" t="s">
        <v>758</v>
      </c>
      <c r="AN124" s="5" t="s">
        <v>799</v>
      </c>
      <c r="AO124" s="20" t="s">
        <v>786</v>
      </c>
      <c r="AP124" s="20">
        <v>425412</v>
      </c>
      <c r="AQ124" s="46" t="s">
        <v>840</v>
      </c>
      <c r="AR124" s="44">
        <v>42123180582</v>
      </c>
      <c r="AS124" s="46" t="s">
        <v>1245</v>
      </c>
      <c r="AT124" s="22" t="s">
        <v>1052</v>
      </c>
    </row>
    <row r="125" spans="1:46" x14ac:dyDescent="0.25">
      <c r="A125" s="20">
        <v>120</v>
      </c>
      <c r="B125" s="21" t="s">
        <v>1042</v>
      </c>
      <c r="C125" s="20" t="s">
        <v>50</v>
      </c>
      <c r="D125" s="22" t="s">
        <v>1058</v>
      </c>
      <c r="E125" s="22" t="s">
        <v>1062</v>
      </c>
      <c r="F125" s="22" t="s">
        <v>496</v>
      </c>
      <c r="G125" s="20" t="s">
        <v>64</v>
      </c>
      <c r="H125" s="20"/>
      <c r="I125" s="28" t="s">
        <v>1213</v>
      </c>
      <c r="J125" s="20" t="s">
        <v>1313</v>
      </c>
      <c r="K125" s="20" t="s">
        <v>67</v>
      </c>
      <c r="L125" s="20" t="s">
        <v>69</v>
      </c>
      <c r="M125" s="14" t="s">
        <v>539</v>
      </c>
      <c r="N125" s="4" t="s">
        <v>144</v>
      </c>
      <c r="O125" s="20" t="s">
        <v>542</v>
      </c>
      <c r="P125" s="20" t="s">
        <v>68</v>
      </c>
      <c r="Q125" s="23" t="s">
        <v>545</v>
      </c>
      <c r="R125" s="20" t="s">
        <v>46</v>
      </c>
      <c r="S125" s="20" t="s">
        <v>155</v>
      </c>
      <c r="T125" s="20" t="s">
        <v>43</v>
      </c>
      <c r="U125" s="20"/>
      <c r="V125" s="38" t="s">
        <v>1258</v>
      </c>
      <c r="W125" s="29"/>
      <c r="X125" s="20"/>
      <c r="Y125" s="23"/>
      <c r="Z125" s="44">
        <v>218981922634</v>
      </c>
      <c r="AA125" s="20">
        <v>8208555732</v>
      </c>
      <c r="AB125" s="20" t="s">
        <v>1319</v>
      </c>
      <c r="AC125" s="20"/>
      <c r="AD125" s="20" t="s">
        <v>1062</v>
      </c>
      <c r="AE125" s="20">
        <v>8208555732</v>
      </c>
      <c r="AF125" s="20"/>
      <c r="AG125" s="45" t="s">
        <v>1190</v>
      </c>
      <c r="AH125" s="20" t="s">
        <v>758</v>
      </c>
      <c r="AI125" s="5" t="s">
        <v>799</v>
      </c>
      <c r="AJ125" s="20" t="s">
        <v>787</v>
      </c>
      <c r="AK125" s="20">
        <v>425421</v>
      </c>
      <c r="AL125" s="45" t="s">
        <v>1190</v>
      </c>
      <c r="AM125" s="20" t="s">
        <v>758</v>
      </c>
      <c r="AN125" s="5" t="s">
        <v>799</v>
      </c>
      <c r="AO125" s="20" t="s">
        <v>787</v>
      </c>
      <c r="AP125" s="20">
        <v>425421</v>
      </c>
      <c r="AQ125" s="46" t="s">
        <v>844</v>
      </c>
      <c r="AR125" s="44">
        <v>50100581930930</v>
      </c>
      <c r="AS125" s="46"/>
      <c r="AT125" s="22" t="s">
        <v>1053</v>
      </c>
    </row>
    <row r="126" spans="1:46" x14ac:dyDescent="0.25">
      <c r="A126" s="20">
        <v>121</v>
      </c>
      <c r="B126" s="21" t="s">
        <v>1043</v>
      </c>
      <c r="C126" s="20" t="s">
        <v>50</v>
      </c>
      <c r="D126" s="22" t="s">
        <v>360</v>
      </c>
      <c r="E126" s="22" t="s">
        <v>458</v>
      </c>
      <c r="F126" s="22" t="s">
        <v>505</v>
      </c>
      <c r="G126" s="20" t="s">
        <v>64</v>
      </c>
      <c r="H126" s="20"/>
      <c r="I126" s="28" t="s">
        <v>1214</v>
      </c>
      <c r="J126" s="20" t="s">
        <v>1313</v>
      </c>
      <c r="K126" s="20" t="s">
        <v>67</v>
      </c>
      <c r="L126" s="20" t="s">
        <v>69</v>
      </c>
      <c r="M126" s="14" t="s">
        <v>539</v>
      </c>
      <c r="N126" s="4" t="s">
        <v>144</v>
      </c>
      <c r="O126" s="20" t="s">
        <v>542</v>
      </c>
      <c r="P126" s="20" t="s">
        <v>68</v>
      </c>
      <c r="Q126" s="23" t="s">
        <v>545</v>
      </c>
      <c r="R126" s="20" t="s">
        <v>46</v>
      </c>
      <c r="S126" s="20" t="s">
        <v>155</v>
      </c>
      <c r="T126" s="20" t="s">
        <v>43</v>
      </c>
      <c r="U126" s="20"/>
      <c r="V126" s="38" t="s">
        <v>1259</v>
      </c>
      <c r="W126" s="29"/>
      <c r="X126" s="20"/>
      <c r="Y126" s="23"/>
      <c r="Z126" s="44">
        <v>813122891034</v>
      </c>
      <c r="AA126" s="20">
        <v>9913618496</v>
      </c>
      <c r="AB126" s="20" t="s">
        <v>1319</v>
      </c>
      <c r="AC126" s="20"/>
      <c r="AD126" s="20" t="s">
        <v>458</v>
      </c>
      <c r="AE126" s="20">
        <v>9913618496</v>
      </c>
      <c r="AF126" s="20"/>
      <c r="AG126" s="45" t="s">
        <v>1188</v>
      </c>
      <c r="AH126" s="20" t="s">
        <v>758</v>
      </c>
      <c r="AI126" s="5" t="s">
        <v>799</v>
      </c>
      <c r="AJ126" s="20" t="s">
        <v>787</v>
      </c>
      <c r="AK126" s="20">
        <v>424305</v>
      </c>
      <c r="AL126" s="45" t="s">
        <v>1188</v>
      </c>
      <c r="AM126" s="20" t="s">
        <v>758</v>
      </c>
      <c r="AN126" s="5" t="s">
        <v>799</v>
      </c>
      <c r="AO126" s="20" t="s">
        <v>787</v>
      </c>
      <c r="AP126" s="20">
        <v>424305</v>
      </c>
      <c r="AQ126" s="46" t="s">
        <v>841</v>
      </c>
      <c r="AR126" s="44">
        <v>2256650351</v>
      </c>
      <c r="AS126" s="46" t="s">
        <v>897</v>
      </c>
      <c r="AT126" s="22" t="s">
        <v>1054</v>
      </c>
    </row>
    <row r="127" spans="1:46" x14ac:dyDescent="0.25">
      <c r="A127" s="20">
        <v>122</v>
      </c>
      <c r="B127" s="21" t="s">
        <v>1044</v>
      </c>
      <c r="C127" s="20" t="s">
        <v>50</v>
      </c>
      <c r="D127" s="22" t="s">
        <v>387</v>
      </c>
      <c r="E127" s="22" t="s">
        <v>1063</v>
      </c>
      <c r="F127" s="22" t="s">
        <v>511</v>
      </c>
      <c r="G127" s="20" t="s">
        <v>64</v>
      </c>
      <c r="H127" s="20"/>
      <c r="I127" s="28" t="s">
        <v>1215</v>
      </c>
      <c r="J127" s="20" t="s">
        <v>1316</v>
      </c>
      <c r="K127" s="20" t="s">
        <v>67</v>
      </c>
      <c r="L127" s="20" t="s">
        <v>69</v>
      </c>
      <c r="M127" s="14" t="s">
        <v>539</v>
      </c>
      <c r="N127" s="4" t="s">
        <v>144</v>
      </c>
      <c r="O127" s="20" t="s">
        <v>542</v>
      </c>
      <c r="P127" s="20" t="s">
        <v>68</v>
      </c>
      <c r="Q127" s="23" t="s">
        <v>545</v>
      </c>
      <c r="R127" s="20" t="s">
        <v>46</v>
      </c>
      <c r="S127" s="20" t="s">
        <v>155</v>
      </c>
      <c r="T127" s="20" t="s">
        <v>43</v>
      </c>
      <c r="U127" s="20"/>
      <c r="V127" s="38" t="s">
        <v>1260</v>
      </c>
      <c r="W127" s="29"/>
      <c r="X127" s="20"/>
      <c r="Y127" s="23"/>
      <c r="Z127" s="44">
        <v>365993146419</v>
      </c>
      <c r="AA127" s="20">
        <v>7709350518</v>
      </c>
      <c r="AB127" s="20" t="s">
        <v>1185</v>
      </c>
      <c r="AC127" s="20"/>
      <c r="AD127" s="20" t="s">
        <v>1063</v>
      </c>
      <c r="AE127" s="20">
        <v>7709350518</v>
      </c>
      <c r="AF127" s="20"/>
      <c r="AG127" s="45" t="s">
        <v>1191</v>
      </c>
      <c r="AH127" s="5" t="s">
        <v>1279</v>
      </c>
      <c r="AI127" s="5" t="s">
        <v>799</v>
      </c>
      <c r="AJ127" s="20" t="s">
        <v>787</v>
      </c>
      <c r="AK127" s="20">
        <v>424310</v>
      </c>
      <c r="AL127" s="45" t="s">
        <v>1191</v>
      </c>
      <c r="AM127" s="5" t="s">
        <v>1279</v>
      </c>
      <c r="AN127" s="5" t="s">
        <v>799</v>
      </c>
      <c r="AO127" s="20" t="s">
        <v>787</v>
      </c>
      <c r="AP127" s="20">
        <v>424310</v>
      </c>
      <c r="AQ127" s="46" t="s">
        <v>850</v>
      </c>
      <c r="AR127" s="44" t="s">
        <v>1244</v>
      </c>
      <c r="AS127" s="46" t="s">
        <v>922</v>
      </c>
      <c r="AT127" s="22" t="s">
        <v>1055</v>
      </c>
    </row>
    <row r="128" spans="1:46" x14ac:dyDescent="0.25">
      <c r="A128" s="20">
        <v>123</v>
      </c>
      <c r="B128" s="21" t="s">
        <v>1045</v>
      </c>
      <c r="C128" s="20" t="s">
        <v>50</v>
      </c>
      <c r="D128" s="22" t="s">
        <v>1059</v>
      </c>
      <c r="E128" s="22" t="s">
        <v>356</v>
      </c>
      <c r="F128" s="22" t="s">
        <v>829</v>
      </c>
      <c r="G128" s="20" t="s">
        <v>64</v>
      </c>
      <c r="H128" s="20"/>
      <c r="I128" s="28" t="s">
        <v>1216</v>
      </c>
      <c r="J128" s="20" t="s">
        <v>1314</v>
      </c>
      <c r="K128" s="20" t="s">
        <v>67</v>
      </c>
      <c r="L128" s="20" t="s">
        <v>69</v>
      </c>
      <c r="M128" s="14" t="s">
        <v>539</v>
      </c>
      <c r="N128" s="4" t="s">
        <v>144</v>
      </c>
      <c r="O128" s="20" t="s">
        <v>542</v>
      </c>
      <c r="P128" s="20" t="s">
        <v>68</v>
      </c>
      <c r="Q128" s="23" t="s">
        <v>545</v>
      </c>
      <c r="R128" s="20" t="s">
        <v>46</v>
      </c>
      <c r="S128" s="20" t="s">
        <v>155</v>
      </c>
      <c r="T128" s="20" t="s">
        <v>43</v>
      </c>
      <c r="U128" s="20"/>
      <c r="V128" s="38" t="s">
        <v>1261</v>
      </c>
      <c r="W128" s="29"/>
      <c r="X128" s="20"/>
      <c r="Y128" s="23"/>
      <c r="Z128" s="44">
        <v>418829186246</v>
      </c>
      <c r="AA128" s="20">
        <v>9187011588</v>
      </c>
      <c r="AB128" s="20" t="s">
        <v>1319</v>
      </c>
      <c r="AC128" s="20"/>
      <c r="AD128" s="20" t="s">
        <v>356</v>
      </c>
      <c r="AE128" s="20">
        <v>9187011588</v>
      </c>
      <c r="AF128" s="20"/>
      <c r="AG128" s="45" t="s">
        <v>1192</v>
      </c>
      <c r="AH128" s="20" t="s">
        <v>758</v>
      </c>
      <c r="AI128" s="5" t="s">
        <v>799</v>
      </c>
      <c r="AJ128" s="20" t="s">
        <v>787</v>
      </c>
      <c r="AK128" s="20">
        <v>424305</v>
      </c>
      <c r="AL128" s="45" t="s">
        <v>1192</v>
      </c>
      <c r="AM128" s="20" t="s">
        <v>758</v>
      </c>
      <c r="AN128" s="5" t="s">
        <v>799</v>
      </c>
      <c r="AO128" s="20" t="s">
        <v>787</v>
      </c>
      <c r="AP128" s="20">
        <v>424305</v>
      </c>
      <c r="AQ128" s="46" t="s">
        <v>841</v>
      </c>
      <c r="AR128" s="44">
        <v>3998503199</v>
      </c>
      <c r="AS128" s="46" t="s">
        <v>897</v>
      </c>
      <c r="AT128" s="22" t="s">
        <v>1056</v>
      </c>
    </row>
    <row r="129" spans="1:46" x14ac:dyDescent="0.25">
      <c r="A129" s="20">
        <v>124</v>
      </c>
      <c r="B129" s="21" t="s">
        <v>1064</v>
      </c>
      <c r="C129" s="20" t="s">
        <v>50</v>
      </c>
      <c r="D129" s="22" t="s">
        <v>423</v>
      </c>
      <c r="E129" s="22" t="s">
        <v>1135</v>
      </c>
      <c r="F129" s="22" t="s">
        <v>829</v>
      </c>
      <c r="G129" s="20" t="s">
        <v>64</v>
      </c>
      <c r="H129" s="20"/>
      <c r="I129" s="28" t="s">
        <v>1217</v>
      </c>
      <c r="J129" s="20" t="s">
        <v>1315</v>
      </c>
      <c r="K129" s="20" t="s">
        <v>67</v>
      </c>
      <c r="L129" s="20" t="s">
        <v>69</v>
      </c>
      <c r="M129" s="14" t="s">
        <v>539</v>
      </c>
      <c r="N129" s="4" t="s">
        <v>144</v>
      </c>
      <c r="O129" s="20" t="s">
        <v>542</v>
      </c>
      <c r="P129" s="20" t="s">
        <v>68</v>
      </c>
      <c r="Q129" s="23" t="s">
        <v>545</v>
      </c>
      <c r="R129" s="20" t="s">
        <v>46</v>
      </c>
      <c r="S129" s="20" t="s">
        <v>155</v>
      </c>
      <c r="T129" s="20" t="s">
        <v>43</v>
      </c>
      <c r="U129" s="20"/>
      <c r="V129" s="38" t="s">
        <v>1262</v>
      </c>
      <c r="W129" s="29"/>
      <c r="X129" s="20"/>
      <c r="Y129" s="23"/>
      <c r="Z129" s="44">
        <v>796741458312</v>
      </c>
      <c r="AA129" s="20">
        <v>9699134271</v>
      </c>
      <c r="AB129" s="20" t="s">
        <v>1319</v>
      </c>
      <c r="AC129" s="20"/>
      <c r="AD129" s="20" t="s">
        <v>1135</v>
      </c>
      <c r="AE129" s="20">
        <v>9699134271</v>
      </c>
      <c r="AF129" s="20"/>
      <c r="AG129" s="45" t="s">
        <v>1193</v>
      </c>
      <c r="AH129" s="20" t="s">
        <v>758</v>
      </c>
      <c r="AI129" s="5" t="s">
        <v>799</v>
      </c>
      <c r="AJ129" s="20" t="s">
        <v>787</v>
      </c>
      <c r="AK129" s="20">
        <v>424305</v>
      </c>
      <c r="AL129" s="45" t="s">
        <v>1193</v>
      </c>
      <c r="AM129" s="20" t="s">
        <v>758</v>
      </c>
      <c r="AN129" s="5" t="s">
        <v>799</v>
      </c>
      <c r="AO129" s="20" t="s">
        <v>787</v>
      </c>
      <c r="AP129" s="20">
        <v>424305</v>
      </c>
      <c r="AQ129" s="46" t="s">
        <v>840</v>
      </c>
      <c r="AR129" s="44">
        <v>20367956107</v>
      </c>
      <c r="AS129" s="46" t="s">
        <v>895</v>
      </c>
      <c r="AT129" s="61" t="s">
        <v>1097</v>
      </c>
    </row>
    <row r="130" spans="1:46" x14ac:dyDescent="0.25">
      <c r="A130" s="20">
        <v>125</v>
      </c>
      <c r="B130" s="21" t="s">
        <v>1065</v>
      </c>
      <c r="C130" s="20" t="s">
        <v>50</v>
      </c>
      <c r="D130" s="22" t="s">
        <v>1131</v>
      </c>
      <c r="E130" s="22" t="s">
        <v>444</v>
      </c>
      <c r="F130" s="22" t="s">
        <v>492</v>
      </c>
      <c r="G130" s="20" t="s">
        <v>64</v>
      </c>
      <c r="H130" s="20"/>
      <c r="I130" s="28" t="s">
        <v>1218</v>
      </c>
      <c r="J130" s="20" t="s">
        <v>1317</v>
      </c>
      <c r="K130" s="20" t="s">
        <v>67</v>
      </c>
      <c r="L130" s="20" t="s">
        <v>69</v>
      </c>
      <c r="M130" s="14" t="s">
        <v>539</v>
      </c>
      <c r="N130" s="4" t="s">
        <v>144</v>
      </c>
      <c r="O130" s="20" t="s">
        <v>542</v>
      </c>
      <c r="P130" s="20" t="s">
        <v>68</v>
      </c>
      <c r="Q130" s="23" t="s">
        <v>545</v>
      </c>
      <c r="R130" s="20" t="s">
        <v>46</v>
      </c>
      <c r="S130" s="20" t="s">
        <v>155</v>
      </c>
      <c r="T130" s="20" t="s">
        <v>43</v>
      </c>
      <c r="U130" s="20"/>
      <c r="V130" s="38" t="s">
        <v>1263</v>
      </c>
      <c r="W130" s="29"/>
      <c r="X130" s="20"/>
      <c r="Y130" s="23"/>
      <c r="Z130" s="44">
        <v>637548633159</v>
      </c>
      <c r="AA130" s="20">
        <v>7775991221</v>
      </c>
      <c r="AB130" s="20" t="s">
        <v>1319</v>
      </c>
      <c r="AC130" s="20"/>
      <c r="AD130" s="20" t="s">
        <v>444</v>
      </c>
      <c r="AE130" s="20">
        <v>7775991221</v>
      </c>
      <c r="AF130" s="20"/>
      <c r="AG130" s="45" t="s">
        <v>1193</v>
      </c>
      <c r="AH130" s="20" t="s">
        <v>758</v>
      </c>
      <c r="AI130" s="5" t="s">
        <v>799</v>
      </c>
      <c r="AJ130" s="20" t="s">
        <v>787</v>
      </c>
      <c r="AK130" s="20">
        <v>424308</v>
      </c>
      <c r="AL130" s="45" t="s">
        <v>1193</v>
      </c>
      <c r="AM130" s="20" t="s">
        <v>758</v>
      </c>
      <c r="AN130" s="5" t="s">
        <v>799</v>
      </c>
      <c r="AO130" s="20" t="s">
        <v>787</v>
      </c>
      <c r="AP130" s="20">
        <v>424308</v>
      </c>
      <c r="AQ130" s="46" t="s">
        <v>840</v>
      </c>
      <c r="AR130" s="44">
        <v>42505279985</v>
      </c>
      <c r="AS130" s="46" t="s">
        <v>895</v>
      </c>
      <c r="AT130" s="61" t="s">
        <v>1098</v>
      </c>
    </row>
    <row r="131" spans="1:46" x14ac:dyDescent="0.25">
      <c r="A131" s="20">
        <v>126</v>
      </c>
      <c r="B131" s="21" t="s">
        <v>1066</v>
      </c>
      <c r="C131" s="20" t="s">
        <v>50</v>
      </c>
      <c r="D131" s="22" t="s">
        <v>1132</v>
      </c>
      <c r="E131" s="22" t="s">
        <v>450</v>
      </c>
      <c r="F131" s="22" t="s">
        <v>1158</v>
      </c>
      <c r="G131" s="20" t="s">
        <v>64</v>
      </c>
      <c r="H131" s="20"/>
      <c r="I131" s="28" t="s">
        <v>1219</v>
      </c>
      <c r="J131" s="20" t="s">
        <v>1317</v>
      </c>
      <c r="K131" s="20" t="s">
        <v>67</v>
      </c>
      <c r="L131" s="20" t="s">
        <v>69</v>
      </c>
      <c r="M131" s="14" t="s">
        <v>539</v>
      </c>
      <c r="N131" s="4" t="s">
        <v>144</v>
      </c>
      <c r="O131" s="20" t="s">
        <v>542</v>
      </c>
      <c r="P131" s="20" t="s">
        <v>68</v>
      </c>
      <c r="Q131" s="23" t="s">
        <v>545</v>
      </c>
      <c r="R131" s="20" t="s">
        <v>46</v>
      </c>
      <c r="S131" s="20" t="s">
        <v>155</v>
      </c>
      <c r="T131" s="20" t="s">
        <v>43</v>
      </c>
      <c r="U131" s="20"/>
      <c r="V131" s="38" t="s">
        <v>1264</v>
      </c>
      <c r="W131" s="29"/>
      <c r="X131" s="20"/>
      <c r="Y131" s="23"/>
      <c r="Z131" s="44">
        <v>593585557173</v>
      </c>
      <c r="AA131" s="20">
        <v>9561458375</v>
      </c>
      <c r="AB131" s="20" t="s">
        <v>1319</v>
      </c>
      <c r="AC131" s="20"/>
      <c r="AD131" s="20" t="s">
        <v>450</v>
      </c>
      <c r="AE131" s="20">
        <v>9561458375</v>
      </c>
      <c r="AF131" s="20"/>
      <c r="AG131" s="45" t="s">
        <v>1194</v>
      </c>
      <c r="AH131" s="20" t="s">
        <v>758</v>
      </c>
      <c r="AI131" s="5" t="s">
        <v>799</v>
      </c>
      <c r="AJ131" s="20" t="s">
        <v>787</v>
      </c>
      <c r="AK131" s="20">
        <v>424305</v>
      </c>
      <c r="AL131" s="45" t="s">
        <v>1194</v>
      </c>
      <c r="AM131" s="20" t="s">
        <v>758</v>
      </c>
      <c r="AN131" s="5" t="s">
        <v>799</v>
      </c>
      <c r="AO131" s="20" t="s">
        <v>787</v>
      </c>
      <c r="AP131" s="20">
        <v>424305</v>
      </c>
      <c r="AQ131" s="46" t="s">
        <v>841</v>
      </c>
      <c r="AR131" s="44">
        <v>3942038942</v>
      </c>
      <c r="AS131" s="46" t="s">
        <v>897</v>
      </c>
      <c r="AT131" s="61" t="s">
        <v>1099</v>
      </c>
    </row>
    <row r="132" spans="1:46" x14ac:dyDescent="0.25">
      <c r="A132" s="20">
        <v>127</v>
      </c>
      <c r="B132" s="21" t="s">
        <v>1067</v>
      </c>
      <c r="C132" s="20" t="s">
        <v>50</v>
      </c>
      <c r="D132" s="22" t="s">
        <v>1133</v>
      </c>
      <c r="E132" s="22" t="s">
        <v>1159</v>
      </c>
      <c r="F132" s="22" t="s">
        <v>521</v>
      </c>
      <c r="G132" s="20" t="s">
        <v>64</v>
      </c>
      <c r="H132" s="20"/>
      <c r="I132" s="28" t="s">
        <v>1220</v>
      </c>
      <c r="J132" s="20" t="s">
        <v>1317</v>
      </c>
      <c r="K132" s="20" t="s">
        <v>67</v>
      </c>
      <c r="L132" s="20" t="s">
        <v>69</v>
      </c>
      <c r="M132" s="14" t="s">
        <v>539</v>
      </c>
      <c r="N132" s="4" t="s">
        <v>144</v>
      </c>
      <c r="O132" s="20" t="s">
        <v>542</v>
      </c>
      <c r="P132" s="20" t="s">
        <v>68</v>
      </c>
      <c r="Q132" s="23" t="s">
        <v>545</v>
      </c>
      <c r="R132" s="20" t="s">
        <v>46</v>
      </c>
      <c r="S132" s="20" t="s">
        <v>155</v>
      </c>
      <c r="T132" s="20" t="s">
        <v>43</v>
      </c>
      <c r="U132" s="20"/>
      <c r="V132" s="38" t="s">
        <v>1265</v>
      </c>
      <c r="W132" s="29"/>
      <c r="X132" s="20"/>
      <c r="Y132" s="23"/>
      <c r="Z132" s="44">
        <v>950297053613</v>
      </c>
      <c r="AA132" s="20">
        <v>7822088976</v>
      </c>
      <c r="AB132" s="20" t="s">
        <v>1185</v>
      </c>
      <c r="AC132" s="20"/>
      <c r="AD132" s="20" t="s">
        <v>1159</v>
      </c>
      <c r="AE132" s="20">
        <v>7822088976</v>
      </c>
      <c r="AF132" s="20"/>
      <c r="AG132" s="45" t="s">
        <v>1195</v>
      </c>
      <c r="AH132" s="20" t="s">
        <v>758</v>
      </c>
      <c r="AI132" s="5" t="s">
        <v>799</v>
      </c>
      <c r="AJ132" s="20" t="s">
        <v>787</v>
      </c>
      <c r="AK132" s="20">
        <v>425408</v>
      </c>
      <c r="AL132" s="45" t="s">
        <v>1195</v>
      </c>
      <c r="AM132" s="20" t="s">
        <v>758</v>
      </c>
      <c r="AN132" s="5" t="s">
        <v>799</v>
      </c>
      <c r="AO132" s="20" t="s">
        <v>787</v>
      </c>
      <c r="AP132" s="20">
        <v>425408</v>
      </c>
      <c r="AQ132" s="46" t="s">
        <v>840</v>
      </c>
      <c r="AR132" s="44">
        <v>41474222372</v>
      </c>
      <c r="AS132" s="46" t="s">
        <v>1246</v>
      </c>
      <c r="AT132" s="61" t="s">
        <v>1100</v>
      </c>
    </row>
    <row r="133" spans="1:46" x14ac:dyDescent="0.25">
      <c r="A133" s="20">
        <v>128</v>
      </c>
      <c r="B133" s="21" t="s">
        <v>1068</v>
      </c>
      <c r="C133" s="20" t="s">
        <v>50</v>
      </c>
      <c r="D133" s="22" t="s">
        <v>1134</v>
      </c>
      <c r="E133" s="22" t="s">
        <v>423</v>
      </c>
      <c r="F133" s="22" t="s">
        <v>496</v>
      </c>
      <c r="G133" s="20" t="s">
        <v>64</v>
      </c>
      <c r="H133" s="20"/>
      <c r="I133" s="28" t="s">
        <v>1221</v>
      </c>
      <c r="J133" s="20" t="s">
        <v>1317</v>
      </c>
      <c r="K133" s="20" t="s">
        <v>67</v>
      </c>
      <c r="L133" s="20" t="s">
        <v>69</v>
      </c>
      <c r="M133" s="14" t="s">
        <v>539</v>
      </c>
      <c r="N133" s="4" t="s">
        <v>144</v>
      </c>
      <c r="O133" s="20" t="s">
        <v>542</v>
      </c>
      <c r="P133" s="20" t="s">
        <v>68</v>
      </c>
      <c r="Q133" s="23" t="s">
        <v>545</v>
      </c>
      <c r="R133" s="20" t="s">
        <v>46</v>
      </c>
      <c r="S133" s="20" t="s">
        <v>155</v>
      </c>
      <c r="T133" s="20" t="s">
        <v>43</v>
      </c>
      <c r="U133" s="20"/>
      <c r="V133" s="38" t="s">
        <v>1266</v>
      </c>
      <c r="W133" s="29"/>
      <c r="X133" s="20"/>
      <c r="Y133" s="23"/>
      <c r="Z133" s="44">
        <v>854931983316</v>
      </c>
      <c r="AA133" s="20">
        <v>8263094088</v>
      </c>
      <c r="AB133" s="20" t="s">
        <v>1319</v>
      </c>
      <c r="AC133" s="20"/>
      <c r="AD133" s="20" t="s">
        <v>423</v>
      </c>
      <c r="AE133" s="20">
        <v>8263094088</v>
      </c>
      <c r="AF133" s="20"/>
      <c r="AG133" s="45" t="s">
        <v>1196</v>
      </c>
      <c r="AH133" s="20" t="s">
        <v>758</v>
      </c>
      <c r="AI133" s="5" t="s">
        <v>799</v>
      </c>
      <c r="AJ133" s="20" t="s">
        <v>786</v>
      </c>
      <c r="AK133" s="20">
        <v>425408</v>
      </c>
      <c r="AL133" s="45" t="s">
        <v>1196</v>
      </c>
      <c r="AM133" s="20" t="s">
        <v>758</v>
      </c>
      <c r="AN133" s="5" t="s">
        <v>799</v>
      </c>
      <c r="AO133" s="20" t="s">
        <v>786</v>
      </c>
      <c r="AP133" s="20">
        <v>425408</v>
      </c>
      <c r="AQ133" s="46" t="s">
        <v>846</v>
      </c>
      <c r="AR133" s="44">
        <v>7620041985</v>
      </c>
      <c r="AS133" s="46" t="s">
        <v>912</v>
      </c>
      <c r="AT133" s="61" t="s">
        <v>1101</v>
      </c>
    </row>
    <row r="134" spans="1:46" x14ac:dyDescent="0.25">
      <c r="A134" s="20">
        <v>129</v>
      </c>
      <c r="B134" s="21" t="s">
        <v>1069</v>
      </c>
      <c r="C134" s="20" t="s">
        <v>50</v>
      </c>
      <c r="D134" s="22" t="s">
        <v>360</v>
      </c>
      <c r="E134" s="22" t="s">
        <v>1136</v>
      </c>
      <c r="F134" s="22" t="s">
        <v>1160</v>
      </c>
      <c r="G134" s="20" t="s">
        <v>64</v>
      </c>
      <c r="H134" s="20"/>
      <c r="I134" s="28" t="s">
        <v>1222</v>
      </c>
      <c r="J134" s="20" t="s">
        <v>1285</v>
      </c>
      <c r="K134" s="20" t="s">
        <v>67</v>
      </c>
      <c r="L134" s="20" t="s">
        <v>69</v>
      </c>
      <c r="M134" s="14" t="s">
        <v>1330</v>
      </c>
      <c r="N134" s="4" t="s">
        <v>144</v>
      </c>
      <c r="O134" s="20" t="s">
        <v>542</v>
      </c>
      <c r="P134" s="20" t="s">
        <v>68</v>
      </c>
      <c r="Q134" s="23" t="s">
        <v>545</v>
      </c>
      <c r="R134" s="20" t="s">
        <v>46</v>
      </c>
      <c r="S134" s="20" t="s">
        <v>155</v>
      </c>
      <c r="T134" s="20" t="s">
        <v>43</v>
      </c>
      <c r="U134" s="20"/>
      <c r="V134" s="38" t="s">
        <v>1267</v>
      </c>
      <c r="W134" s="29"/>
      <c r="X134" s="20"/>
      <c r="Y134" s="23"/>
      <c r="Z134" s="44">
        <v>800505513207</v>
      </c>
      <c r="AA134" s="20">
        <v>9881528405</v>
      </c>
      <c r="AB134" s="20" t="s">
        <v>1319</v>
      </c>
      <c r="AC134" s="20"/>
      <c r="AD134" s="20" t="s">
        <v>1136</v>
      </c>
      <c r="AE134" s="20">
        <v>9881528405</v>
      </c>
      <c r="AF134" s="20"/>
      <c r="AG134" s="45" t="s">
        <v>950</v>
      </c>
      <c r="AH134" s="20" t="s">
        <v>758</v>
      </c>
      <c r="AI134" s="5" t="s">
        <v>799</v>
      </c>
      <c r="AJ134" s="20" t="s">
        <v>787</v>
      </c>
      <c r="AK134" s="20">
        <v>424305</v>
      </c>
      <c r="AL134" s="45" t="s">
        <v>950</v>
      </c>
      <c r="AM134" s="20" t="s">
        <v>758</v>
      </c>
      <c r="AN134" s="5" t="s">
        <v>799</v>
      </c>
      <c r="AO134" s="20" t="s">
        <v>787</v>
      </c>
      <c r="AP134" s="20">
        <v>424305</v>
      </c>
      <c r="AQ134" s="46" t="s">
        <v>840</v>
      </c>
      <c r="AR134" s="44">
        <v>43519956661</v>
      </c>
      <c r="AS134" s="46" t="s">
        <v>1247</v>
      </c>
      <c r="AT134" s="61" t="s">
        <v>1102</v>
      </c>
    </row>
    <row r="135" spans="1:46" x14ac:dyDescent="0.25">
      <c r="A135" s="20">
        <v>130</v>
      </c>
      <c r="B135" s="21" t="s">
        <v>1070</v>
      </c>
      <c r="C135" s="20" t="s">
        <v>50</v>
      </c>
      <c r="D135" s="22" t="s">
        <v>388</v>
      </c>
      <c r="E135" s="22" t="s">
        <v>463</v>
      </c>
      <c r="F135" s="22" t="s">
        <v>489</v>
      </c>
      <c r="G135" s="20" t="s">
        <v>64</v>
      </c>
      <c r="H135" s="20"/>
      <c r="I135" s="28" t="s">
        <v>1223</v>
      </c>
      <c r="J135" s="20" t="s">
        <v>1285</v>
      </c>
      <c r="K135" s="20" t="s">
        <v>67</v>
      </c>
      <c r="L135" s="20" t="s">
        <v>69</v>
      </c>
      <c r="M135" s="14" t="s">
        <v>539</v>
      </c>
      <c r="N135" s="4" t="s">
        <v>144</v>
      </c>
      <c r="O135" s="20" t="s">
        <v>542</v>
      </c>
      <c r="P135" s="20" t="s">
        <v>68</v>
      </c>
      <c r="Q135" s="23" t="s">
        <v>545</v>
      </c>
      <c r="R135" s="20" t="s">
        <v>46</v>
      </c>
      <c r="S135" s="20" t="s">
        <v>155</v>
      </c>
      <c r="T135" s="20" t="s">
        <v>43</v>
      </c>
      <c r="U135" s="20"/>
      <c r="V135" s="38" t="s">
        <v>1268</v>
      </c>
      <c r="W135" s="29"/>
      <c r="X135" s="20"/>
      <c r="Y135" s="23"/>
      <c r="Z135" s="44">
        <v>560462265067</v>
      </c>
      <c r="AA135" s="20">
        <v>9209146363</v>
      </c>
      <c r="AB135" s="20" t="s">
        <v>1319</v>
      </c>
      <c r="AC135" s="20"/>
      <c r="AD135" s="20" t="s">
        <v>463</v>
      </c>
      <c r="AE135" s="20">
        <v>9209146363</v>
      </c>
      <c r="AF135" s="20"/>
      <c r="AG135" s="45" t="s">
        <v>950</v>
      </c>
      <c r="AH135" s="20" t="s">
        <v>758</v>
      </c>
      <c r="AI135" s="5" t="s">
        <v>799</v>
      </c>
      <c r="AJ135" s="20" t="s">
        <v>787</v>
      </c>
      <c r="AK135" s="20">
        <v>424305</v>
      </c>
      <c r="AL135" s="45" t="s">
        <v>950</v>
      </c>
      <c r="AM135" s="20" t="s">
        <v>758</v>
      </c>
      <c r="AN135" s="5" t="s">
        <v>799</v>
      </c>
      <c r="AO135" s="20" t="s">
        <v>787</v>
      </c>
      <c r="AP135" s="20">
        <v>424305</v>
      </c>
      <c r="AQ135" s="46" t="s">
        <v>853</v>
      </c>
      <c r="AR135" s="44">
        <v>49601513022</v>
      </c>
      <c r="AS135" s="46" t="s">
        <v>923</v>
      </c>
      <c r="AT135" s="61" t="s">
        <v>1103</v>
      </c>
    </row>
    <row r="136" spans="1:46" x14ac:dyDescent="0.25">
      <c r="A136" s="20">
        <v>131</v>
      </c>
      <c r="B136" s="48" t="s">
        <v>1071</v>
      </c>
      <c r="C136" s="20" t="s">
        <v>50</v>
      </c>
      <c r="D136" s="22" t="s">
        <v>450</v>
      </c>
      <c r="E136" s="22" t="s">
        <v>440</v>
      </c>
      <c r="F136" s="22" t="s">
        <v>496</v>
      </c>
      <c r="G136" s="20" t="s">
        <v>64</v>
      </c>
      <c r="H136" s="20"/>
      <c r="I136" s="28" t="s">
        <v>1224</v>
      </c>
      <c r="J136" s="20" t="s">
        <v>1285</v>
      </c>
      <c r="K136" s="20" t="s">
        <v>67</v>
      </c>
      <c r="L136" s="20" t="s">
        <v>69</v>
      </c>
      <c r="M136" s="14" t="s">
        <v>539</v>
      </c>
      <c r="N136" s="4" t="s">
        <v>144</v>
      </c>
      <c r="O136" s="20" t="s">
        <v>542</v>
      </c>
      <c r="P136" s="20" t="s">
        <v>68</v>
      </c>
      <c r="Q136" s="23" t="s">
        <v>545</v>
      </c>
      <c r="R136" s="20" t="s">
        <v>46</v>
      </c>
      <c r="S136" s="20" t="s">
        <v>155</v>
      </c>
      <c r="T136" s="20" t="s">
        <v>43</v>
      </c>
      <c r="U136" s="20"/>
      <c r="V136" s="38" t="s">
        <v>1269</v>
      </c>
      <c r="W136" s="29"/>
      <c r="X136" s="20"/>
      <c r="Y136" s="23"/>
      <c r="Z136" s="44">
        <v>225452566024</v>
      </c>
      <c r="AA136" s="20">
        <v>7350704360</v>
      </c>
      <c r="AB136" s="20" t="s">
        <v>1319</v>
      </c>
      <c r="AC136" s="20"/>
      <c r="AD136" s="20" t="s">
        <v>440</v>
      </c>
      <c r="AE136" s="20">
        <v>7350704360</v>
      </c>
      <c r="AF136" s="20"/>
      <c r="AG136" s="45" t="s">
        <v>1197</v>
      </c>
      <c r="AH136" s="20" t="s">
        <v>723</v>
      </c>
      <c r="AI136" s="5" t="s">
        <v>799</v>
      </c>
      <c r="AJ136" s="20" t="s">
        <v>786</v>
      </c>
      <c r="AK136" s="20">
        <v>424305</v>
      </c>
      <c r="AL136" s="45" t="s">
        <v>1197</v>
      </c>
      <c r="AM136" s="20" t="s">
        <v>761</v>
      </c>
      <c r="AN136" s="5" t="s">
        <v>799</v>
      </c>
      <c r="AO136" s="20" t="s">
        <v>786</v>
      </c>
      <c r="AP136" s="20">
        <v>424305</v>
      </c>
      <c r="AQ136" s="46" t="s">
        <v>839</v>
      </c>
      <c r="AR136" s="44">
        <v>80041251870</v>
      </c>
      <c r="AS136" s="28" t="s">
        <v>894</v>
      </c>
      <c r="AT136" s="61" t="s">
        <v>1104</v>
      </c>
    </row>
    <row r="137" spans="1:46" x14ac:dyDescent="0.25">
      <c r="A137" s="20">
        <v>132</v>
      </c>
      <c r="B137" s="48" t="s">
        <v>1072</v>
      </c>
      <c r="C137" s="20" t="s">
        <v>50</v>
      </c>
      <c r="D137" s="22" t="s">
        <v>1161</v>
      </c>
      <c r="E137" s="22" t="s">
        <v>1137</v>
      </c>
      <c r="F137" s="22" t="s">
        <v>492</v>
      </c>
      <c r="G137" s="20" t="s">
        <v>64</v>
      </c>
      <c r="H137" s="20"/>
      <c r="I137" s="28" t="s">
        <v>1225</v>
      </c>
      <c r="J137" s="28" t="s">
        <v>1233</v>
      </c>
      <c r="K137" s="20" t="s">
        <v>67</v>
      </c>
      <c r="L137" s="20" t="s">
        <v>69</v>
      </c>
      <c r="M137" s="14" t="s">
        <v>540</v>
      </c>
      <c r="N137" s="4" t="s">
        <v>144</v>
      </c>
      <c r="O137" s="20" t="s">
        <v>542</v>
      </c>
      <c r="P137" s="20" t="s">
        <v>68</v>
      </c>
      <c r="Q137" s="23" t="s">
        <v>545</v>
      </c>
      <c r="R137" s="20" t="s">
        <v>46</v>
      </c>
      <c r="S137" s="20" t="s">
        <v>155</v>
      </c>
      <c r="T137" s="20" t="s">
        <v>43</v>
      </c>
      <c r="U137" s="20"/>
      <c r="V137" s="38" t="s">
        <v>1270</v>
      </c>
      <c r="W137" s="29"/>
      <c r="X137" s="20"/>
      <c r="Y137" s="23"/>
      <c r="Z137" s="44">
        <v>274350642885</v>
      </c>
      <c r="AA137" s="20">
        <v>9226648404</v>
      </c>
      <c r="AB137" s="20" t="s">
        <v>1319</v>
      </c>
      <c r="AC137" s="20"/>
      <c r="AD137" s="20" t="s">
        <v>1137</v>
      </c>
      <c r="AE137" s="20">
        <v>9226648404</v>
      </c>
      <c r="AF137" s="20"/>
      <c r="AG137" s="45" t="s">
        <v>748</v>
      </c>
      <c r="AH137" s="20" t="s">
        <v>758</v>
      </c>
      <c r="AI137" s="5" t="s">
        <v>799</v>
      </c>
      <c r="AJ137" s="20" t="s">
        <v>787</v>
      </c>
      <c r="AK137" s="20">
        <v>424305</v>
      </c>
      <c r="AL137" s="45" t="s">
        <v>748</v>
      </c>
      <c r="AM137" s="20" t="s">
        <v>758</v>
      </c>
      <c r="AN137" s="5" t="s">
        <v>799</v>
      </c>
      <c r="AO137" s="20" t="s">
        <v>787</v>
      </c>
      <c r="AP137" s="20">
        <v>424305</v>
      </c>
      <c r="AQ137" s="46" t="s">
        <v>841</v>
      </c>
      <c r="AR137" s="44">
        <v>4055789750</v>
      </c>
      <c r="AS137" s="46" t="s">
        <v>897</v>
      </c>
      <c r="AT137" s="61" t="s">
        <v>1105</v>
      </c>
    </row>
    <row r="138" spans="1:46" x14ac:dyDescent="0.25">
      <c r="A138" s="20">
        <v>133</v>
      </c>
      <c r="B138" s="48" t="s">
        <v>1073</v>
      </c>
      <c r="C138" s="20" t="s">
        <v>50</v>
      </c>
      <c r="D138" s="22" t="s">
        <v>1162</v>
      </c>
      <c r="E138" s="22" t="s">
        <v>462</v>
      </c>
      <c r="F138" s="22" t="s">
        <v>823</v>
      </c>
      <c r="G138" s="20" t="s">
        <v>64</v>
      </c>
      <c r="H138" s="20"/>
      <c r="I138" s="28" t="s">
        <v>1226</v>
      </c>
      <c r="J138" s="28" t="s">
        <v>1234</v>
      </c>
      <c r="K138" s="20" t="s">
        <v>67</v>
      </c>
      <c r="L138" s="20" t="s">
        <v>69</v>
      </c>
      <c r="M138" s="14" t="s">
        <v>539</v>
      </c>
      <c r="N138" s="4" t="s">
        <v>144</v>
      </c>
      <c r="O138" s="20" t="s">
        <v>542</v>
      </c>
      <c r="P138" s="20" t="s">
        <v>68</v>
      </c>
      <c r="Q138" s="23" t="s">
        <v>545</v>
      </c>
      <c r="R138" s="20" t="s">
        <v>46</v>
      </c>
      <c r="S138" s="20" t="s">
        <v>155</v>
      </c>
      <c r="T138" s="20" t="s">
        <v>43</v>
      </c>
      <c r="U138" s="20"/>
      <c r="V138" s="38" t="s">
        <v>1271</v>
      </c>
      <c r="W138" s="29"/>
      <c r="X138" s="20"/>
      <c r="Y138" s="23"/>
      <c r="Z138" s="44">
        <v>503904161585</v>
      </c>
      <c r="AA138" s="20">
        <v>9518722462</v>
      </c>
      <c r="AB138" s="20" t="s">
        <v>1185</v>
      </c>
      <c r="AC138" s="20"/>
      <c r="AD138" s="20" t="s">
        <v>462</v>
      </c>
      <c r="AE138" s="20">
        <v>9518722462</v>
      </c>
      <c r="AF138" s="20"/>
      <c r="AG138" s="45" t="s">
        <v>1198</v>
      </c>
      <c r="AH138" s="49" t="s">
        <v>1280</v>
      </c>
      <c r="AI138" s="5" t="s">
        <v>799</v>
      </c>
      <c r="AJ138" s="20" t="s">
        <v>787</v>
      </c>
      <c r="AK138" s="20">
        <v>424305</v>
      </c>
      <c r="AL138" s="45" t="s">
        <v>1198</v>
      </c>
      <c r="AM138" s="49" t="s">
        <v>1280</v>
      </c>
      <c r="AN138" s="5" t="s">
        <v>799</v>
      </c>
      <c r="AO138" s="20" t="s">
        <v>787</v>
      </c>
      <c r="AP138" s="20">
        <v>424305</v>
      </c>
      <c r="AQ138" s="46" t="s">
        <v>840</v>
      </c>
      <c r="AR138" s="44">
        <v>34646391361</v>
      </c>
      <c r="AS138" s="46" t="s">
        <v>895</v>
      </c>
      <c r="AT138" s="61" t="s">
        <v>1106</v>
      </c>
    </row>
    <row r="139" spans="1:46" x14ac:dyDescent="0.25">
      <c r="A139" s="20">
        <v>134</v>
      </c>
      <c r="B139" s="48" t="s">
        <v>1074</v>
      </c>
      <c r="C139" s="20" t="s">
        <v>50</v>
      </c>
      <c r="D139" s="22" t="s">
        <v>398</v>
      </c>
      <c r="E139" s="22" t="s">
        <v>1059</v>
      </c>
      <c r="F139" s="22" t="s">
        <v>530</v>
      </c>
      <c r="G139" s="20" t="s">
        <v>64</v>
      </c>
      <c r="H139" s="20"/>
      <c r="I139" s="28" t="s">
        <v>1227</v>
      </c>
      <c r="J139" s="28" t="s">
        <v>1235</v>
      </c>
      <c r="K139" s="20" t="s">
        <v>67</v>
      </c>
      <c r="L139" s="20" t="s">
        <v>69</v>
      </c>
      <c r="M139" s="14" t="s">
        <v>539</v>
      </c>
      <c r="N139" s="4" t="s">
        <v>144</v>
      </c>
      <c r="O139" s="20" t="s">
        <v>542</v>
      </c>
      <c r="P139" s="20" t="s">
        <v>68</v>
      </c>
      <c r="Q139" s="23" t="s">
        <v>545</v>
      </c>
      <c r="R139" s="20" t="s">
        <v>46</v>
      </c>
      <c r="S139" s="20" t="s">
        <v>155</v>
      </c>
      <c r="T139" s="20" t="s">
        <v>43</v>
      </c>
      <c r="U139" s="20"/>
      <c r="V139" s="38" t="s">
        <v>1272</v>
      </c>
      <c r="W139" s="29"/>
      <c r="X139" s="20"/>
      <c r="Y139" s="23"/>
      <c r="Z139" s="44">
        <v>246448122539</v>
      </c>
      <c r="AA139" s="20">
        <v>9112422698</v>
      </c>
      <c r="AB139" s="20" t="s">
        <v>1319</v>
      </c>
      <c r="AC139" s="20"/>
      <c r="AD139" s="20" t="s">
        <v>1059</v>
      </c>
      <c r="AE139" s="20">
        <v>9112422698</v>
      </c>
      <c r="AF139" s="20"/>
      <c r="AG139" s="45" t="s">
        <v>1199</v>
      </c>
      <c r="AH139" s="49" t="s">
        <v>936</v>
      </c>
      <c r="AI139" s="5" t="s">
        <v>799</v>
      </c>
      <c r="AJ139" s="20" t="s">
        <v>787</v>
      </c>
      <c r="AK139" s="20">
        <v>425412</v>
      </c>
      <c r="AL139" s="45" t="s">
        <v>1199</v>
      </c>
      <c r="AM139" s="49" t="s">
        <v>936</v>
      </c>
      <c r="AN139" s="5" t="s">
        <v>799</v>
      </c>
      <c r="AO139" s="20" t="s">
        <v>787</v>
      </c>
      <c r="AP139" s="20">
        <v>425412</v>
      </c>
      <c r="AQ139" s="46" t="s">
        <v>840</v>
      </c>
      <c r="AR139" s="44">
        <v>38618107227</v>
      </c>
      <c r="AS139" s="46" t="s">
        <v>895</v>
      </c>
      <c r="AT139" s="61" t="s">
        <v>1107</v>
      </c>
    </row>
    <row r="140" spans="1:46" x14ac:dyDescent="0.25">
      <c r="A140" s="20">
        <v>135</v>
      </c>
      <c r="B140" s="48" t="s">
        <v>1075</v>
      </c>
      <c r="C140" s="20" t="s">
        <v>50</v>
      </c>
      <c r="D140" s="22" t="s">
        <v>399</v>
      </c>
      <c r="E140" s="22" t="s">
        <v>1138</v>
      </c>
      <c r="F140" s="22" t="s">
        <v>1139</v>
      </c>
      <c r="G140" s="20" t="s">
        <v>64</v>
      </c>
      <c r="H140" s="20"/>
      <c r="I140" s="28" t="s">
        <v>1228</v>
      </c>
      <c r="J140" s="28" t="s">
        <v>1236</v>
      </c>
      <c r="K140" s="20" t="s">
        <v>67</v>
      </c>
      <c r="L140" s="20" t="s">
        <v>69</v>
      </c>
      <c r="M140" s="14" t="s">
        <v>539</v>
      </c>
      <c r="N140" s="4" t="s">
        <v>144</v>
      </c>
      <c r="O140" s="20" t="s">
        <v>542</v>
      </c>
      <c r="P140" s="20" t="s">
        <v>68</v>
      </c>
      <c r="Q140" s="23" t="s">
        <v>545</v>
      </c>
      <c r="R140" s="20" t="s">
        <v>46</v>
      </c>
      <c r="S140" s="20" t="s">
        <v>155</v>
      </c>
      <c r="T140" s="20" t="s">
        <v>43</v>
      </c>
      <c r="U140" s="20"/>
      <c r="V140" s="38" t="s">
        <v>1273</v>
      </c>
      <c r="W140" s="29"/>
      <c r="X140" s="20"/>
      <c r="Y140" s="23"/>
      <c r="Z140" s="44">
        <v>217658221712</v>
      </c>
      <c r="AA140" s="20">
        <v>9229449063</v>
      </c>
      <c r="AB140" s="20" t="s">
        <v>1185</v>
      </c>
      <c r="AC140" s="20"/>
      <c r="AD140" s="20" t="s">
        <v>1138</v>
      </c>
      <c r="AE140" s="20">
        <v>9229449063</v>
      </c>
      <c r="AF140" s="20"/>
      <c r="AG140" s="45" t="s">
        <v>1200</v>
      </c>
      <c r="AH140" s="49" t="s">
        <v>1281</v>
      </c>
      <c r="AI140" s="5" t="s">
        <v>799</v>
      </c>
      <c r="AJ140" s="20" t="s">
        <v>786</v>
      </c>
      <c r="AK140" s="20">
        <v>425412</v>
      </c>
      <c r="AL140" s="45" t="s">
        <v>1200</v>
      </c>
      <c r="AM140" s="49" t="s">
        <v>1281</v>
      </c>
      <c r="AN140" s="5" t="s">
        <v>799</v>
      </c>
      <c r="AO140" s="20" t="s">
        <v>786</v>
      </c>
      <c r="AP140" s="20">
        <v>425412</v>
      </c>
      <c r="AQ140" s="46" t="s">
        <v>982</v>
      </c>
      <c r="AR140" s="44">
        <v>60568974753</v>
      </c>
      <c r="AS140" s="46" t="s">
        <v>991</v>
      </c>
      <c r="AT140" s="61" t="s">
        <v>1108</v>
      </c>
    </row>
    <row r="141" spans="1:46" x14ac:dyDescent="0.25">
      <c r="A141" s="20">
        <v>136</v>
      </c>
      <c r="B141" s="48" t="s">
        <v>1076</v>
      </c>
      <c r="C141" s="20" t="s">
        <v>50</v>
      </c>
      <c r="D141" s="22" t="s">
        <v>399</v>
      </c>
      <c r="E141" s="22" t="s">
        <v>349</v>
      </c>
      <c r="F141" s="22" t="s">
        <v>502</v>
      </c>
      <c r="G141" s="20" t="s">
        <v>64</v>
      </c>
      <c r="H141" s="20"/>
      <c r="I141" s="28" t="s">
        <v>1229</v>
      </c>
      <c r="J141" s="28" t="s">
        <v>1237</v>
      </c>
      <c r="K141" s="20" t="s">
        <v>67</v>
      </c>
      <c r="L141" s="20" t="s">
        <v>69</v>
      </c>
      <c r="M141" s="14" t="s">
        <v>539</v>
      </c>
      <c r="N141" s="4" t="s">
        <v>144</v>
      </c>
      <c r="O141" s="20" t="s">
        <v>542</v>
      </c>
      <c r="P141" s="20" t="s">
        <v>68</v>
      </c>
      <c r="Q141" s="23" t="s">
        <v>545</v>
      </c>
      <c r="R141" s="20" t="s">
        <v>46</v>
      </c>
      <c r="S141" s="20" t="s">
        <v>155</v>
      </c>
      <c r="T141" s="20" t="s">
        <v>43</v>
      </c>
      <c r="U141" s="20"/>
      <c r="V141" s="38" t="s">
        <v>1274</v>
      </c>
      <c r="W141" s="29"/>
      <c r="X141" s="20"/>
      <c r="Y141" s="23"/>
      <c r="Z141" s="44">
        <v>836511312173</v>
      </c>
      <c r="AA141" s="20">
        <v>7743915954</v>
      </c>
      <c r="AB141" s="20" t="s">
        <v>1319</v>
      </c>
      <c r="AC141" s="20"/>
      <c r="AD141" s="20" t="s">
        <v>349</v>
      </c>
      <c r="AE141" s="20">
        <v>7743915954</v>
      </c>
      <c r="AF141" s="20"/>
      <c r="AG141" s="45" t="s">
        <v>1201</v>
      </c>
      <c r="AH141" s="49" t="s">
        <v>1277</v>
      </c>
      <c r="AI141" s="5" t="s">
        <v>799</v>
      </c>
      <c r="AJ141" s="20" t="s">
        <v>787</v>
      </c>
      <c r="AK141" s="20">
        <v>424305</v>
      </c>
      <c r="AL141" s="45" t="s">
        <v>1201</v>
      </c>
      <c r="AM141" s="49" t="s">
        <v>1277</v>
      </c>
      <c r="AN141" s="5" t="s">
        <v>799</v>
      </c>
      <c r="AO141" s="20" t="s">
        <v>787</v>
      </c>
      <c r="AP141" s="20">
        <v>424305</v>
      </c>
      <c r="AQ141" s="46" t="s">
        <v>844</v>
      </c>
      <c r="AR141" s="44">
        <v>50100763404630</v>
      </c>
      <c r="AS141" s="46" t="s">
        <v>1248</v>
      </c>
      <c r="AT141" s="61" t="s">
        <v>1109</v>
      </c>
    </row>
    <row r="142" spans="1:46" x14ac:dyDescent="0.25">
      <c r="A142" s="20">
        <v>137</v>
      </c>
      <c r="B142" s="48" t="s">
        <v>1077</v>
      </c>
      <c r="C142" s="20" t="s">
        <v>50</v>
      </c>
      <c r="D142" s="22" t="s">
        <v>371</v>
      </c>
      <c r="E142" s="22" t="s">
        <v>456</v>
      </c>
      <c r="F142" s="22" t="s">
        <v>1163</v>
      </c>
      <c r="G142" s="20" t="s">
        <v>64</v>
      </c>
      <c r="H142" s="20"/>
      <c r="I142" s="28" t="s">
        <v>1230</v>
      </c>
      <c r="J142" s="28" t="s">
        <v>1237</v>
      </c>
      <c r="K142" s="20" t="s">
        <v>67</v>
      </c>
      <c r="L142" s="20" t="s">
        <v>69</v>
      </c>
      <c r="M142" s="14" t="s">
        <v>539</v>
      </c>
      <c r="N142" s="4" t="s">
        <v>144</v>
      </c>
      <c r="O142" s="20" t="s">
        <v>542</v>
      </c>
      <c r="P142" s="20" t="s">
        <v>68</v>
      </c>
      <c r="Q142" s="23" t="s">
        <v>545</v>
      </c>
      <c r="R142" s="20" t="s">
        <v>46</v>
      </c>
      <c r="S142" s="20" t="s">
        <v>155</v>
      </c>
      <c r="T142" s="20" t="s">
        <v>43</v>
      </c>
      <c r="U142" s="20"/>
      <c r="V142" s="50"/>
      <c r="W142" s="29"/>
      <c r="X142" s="20"/>
      <c r="Y142" s="23"/>
      <c r="Z142" s="44">
        <v>594612390744</v>
      </c>
      <c r="AA142" s="20">
        <v>9699877938</v>
      </c>
      <c r="AB142" s="20" t="s">
        <v>1319</v>
      </c>
      <c r="AC142" s="20"/>
      <c r="AD142" s="20" t="s">
        <v>456</v>
      </c>
      <c r="AE142" s="20">
        <v>9699877938</v>
      </c>
      <c r="AF142" s="20"/>
      <c r="AG142" s="45" t="s">
        <v>1202</v>
      </c>
      <c r="AH142" s="49" t="s">
        <v>1282</v>
      </c>
      <c r="AI142" s="5" t="s">
        <v>799</v>
      </c>
      <c r="AJ142" s="20" t="s">
        <v>787</v>
      </c>
      <c r="AK142" s="20">
        <v>424304</v>
      </c>
      <c r="AL142" s="45" t="s">
        <v>1202</v>
      </c>
      <c r="AM142" s="49" t="s">
        <v>1282</v>
      </c>
      <c r="AN142" s="5" t="s">
        <v>799</v>
      </c>
      <c r="AO142" s="20" t="s">
        <v>787</v>
      </c>
      <c r="AP142" s="20">
        <v>424304</v>
      </c>
      <c r="AQ142" s="46" t="s">
        <v>841</v>
      </c>
      <c r="AR142" s="46">
        <v>2991443166</v>
      </c>
      <c r="AS142" s="46" t="s">
        <v>924</v>
      </c>
      <c r="AT142" s="61" t="s">
        <v>1110</v>
      </c>
    </row>
    <row r="143" spans="1:46" x14ac:dyDescent="0.25">
      <c r="A143" s="20">
        <v>138</v>
      </c>
      <c r="B143" s="48" t="s">
        <v>1078</v>
      </c>
      <c r="C143" s="20" t="s">
        <v>50</v>
      </c>
      <c r="D143" s="22" t="s">
        <v>388</v>
      </c>
      <c r="E143" s="22" t="s">
        <v>440</v>
      </c>
      <c r="F143" s="22" t="s">
        <v>496</v>
      </c>
      <c r="G143" s="20" t="s">
        <v>64</v>
      </c>
      <c r="H143" s="20"/>
      <c r="I143" s="28" t="s">
        <v>1231</v>
      </c>
      <c r="J143" s="28" t="s">
        <v>1237</v>
      </c>
      <c r="K143" s="20" t="s">
        <v>67</v>
      </c>
      <c r="L143" s="20" t="s">
        <v>69</v>
      </c>
      <c r="M143" s="20" t="s">
        <v>539</v>
      </c>
      <c r="N143" s="4" t="s">
        <v>144</v>
      </c>
      <c r="O143" s="20" t="s">
        <v>542</v>
      </c>
      <c r="P143" s="20" t="s">
        <v>68</v>
      </c>
      <c r="Q143" s="23" t="s">
        <v>545</v>
      </c>
      <c r="R143" s="20" t="s">
        <v>46</v>
      </c>
      <c r="S143" s="20" t="s">
        <v>155</v>
      </c>
      <c r="T143" s="20" t="s">
        <v>43</v>
      </c>
      <c r="U143" s="20"/>
      <c r="V143" s="38" t="s">
        <v>1275</v>
      </c>
      <c r="W143" s="29"/>
      <c r="X143" s="20"/>
      <c r="Y143" s="23"/>
      <c r="Z143" s="44">
        <v>887102826246</v>
      </c>
      <c r="AA143" s="20">
        <v>7850077480</v>
      </c>
      <c r="AB143" s="20" t="s">
        <v>1319</v>
      </c>
      <c r="AC143" s="20"/>
      <c r="AD143" s="20" t="s">
        <v>440</v>
      </c>
      <c r="AE143" s="20">
        <v>7850077480</v>
      </c>
      <c r="AF143" s="20"/>
      <c r="AG143" s="45" t="s">
        <v>1203</v>
      </c>
      <c r="AH143" s="49" t="s">
        <v>1283</v>
      </c>
      <c r="AI143" s="5" t="s">
        <v>799</v>
      </c>
      <c r="AJ143" s="20" t="s">
        <v>787</v>
      </c>
      <c r="AK143" s="20">
        <v>424304</v>
      </c>
      <c r="AL143" s="45" t="s">
        <v>1203</v>
      </c>
      <c r="AM143" s="49" t="s">
        <v>1283</v>
      </c>
      <c r="AN143" s="5" t="s">
        <v>799</v>
      </c>
      <c r="AO143" s="20" t="s">
        <v>787</v>
      </c>
      <c r="AP143" s="20">
        <v>424304</v>
      </c>
      <c r="AQ143" s="46" t="s">
        <v>840</v>
      </c>
      <c r="AR143" s="44">
        <v>41596533308</v>
      </c>
      <c r="AS143" s="46" t="s">
        <v>1249</v>
      </c>
      <c r="AT143" s="61" t="s">
        <v>1111</v>
      </c>
    </row>
    <row r="144" spans="1:46" x14ac:dyDescent="0.25">
      <c r="A144" s="20">
        <v>139</v>
      </c>
      <c r="B144" s="21" t="s">
        <v>1079</v>
      </c>
      <c r="C144" s="20" t="s">
        <v>50</v>
      </c>
      <c r="D144" s="22" t="s">
        <v>357</v>
      </c>
      <c r="E144" s="22" t="s">
        <v>1164</v>
      </c>
      <c r="F144" s="22" t="s">
        <v>507</v>
      </c>
      <c r="G144" s="20" t="s">
        <v>64</v>
      </c>
      <c r="H144" s="20"/>
      <c r="I144" s="28" t="s">
        <v>1232</v>
      </c>
      <c r="J144" s="28" t="s">
        <v>1238</v>
      </c>
      <c r="K144" s="20" t="s">
        <v>67</v>
      </c>
      <c r="L144" s="20" t="s">
        <v>69</v>
      </c>
      <c r="M144" s="20" t="s">
        <v>539</v>
      </c>
      <c r="N144" s="4" t="s">
        <v>144</v>
      </c>
      <c r="O144" s="20" t="s">
        <v>542</v>
      </c>
      <c r="P144" s="20" t="s">
        <v>68</v>
      </c>
      <c r="Q144" s="23" t="s">
        <v>545</v>
      </c>
      <c r="R144" s="20" t="s">
        <v>46</v>
      </c>
      <c r="S144" s="20" t="s">
        <v>155</v>
      </c>
      <c r="T144" s="20" t="s">
        <v>43</v>
      </c>
      <c r="U144" s="20"/>
      <c r="V144" s="38" t="s">
        <v>1276</v>
      </c>
      <c r="W144" s="20"/>
      <c r="X144" s="20"/>
      <c r="Y144" s="23"/>
      <c r="Z144" s="37">
        <v>413222229703</v>
      </c>
      <c r="AA144" s="20">
        <v>9021391041</v>
      </c>
      <c r="AB144" s="20" t="s">
        <v>1319</v>
      </c>
      <c r="AC144" s="20"/>
      <c r="AD144" s="20" t="s">
        <v>1164</v>
      </c>
      <c r="AE144" s="20">
        <v>9021391041</v>
      </c>
      <c r="AF144" s="20"/>
      <c r="AG144" s="36" t="s">
        <v>1204</v>
      </c>
      <c r="AH144" s="5" t="s">
        <v>1284</v>
      </c>
      <c r="AI144" s="5" t="s">
        <v>799</v>
      </c>
      <c r="AJ144" s="20" t="s">
        <v>787</v>
      </c>
      <c r="AK144" s="20">
        <v>423302</v>
      </c>
      <c r="AL144" s="36" t="s">
        <v>1204</v>
      </c>
      <c r="AM144" s="5" t="s">
        <v>1284</v>
      </c>
      <c r="AN144" s="5" t="s">
        <v>799</v>
      </c>
      <c r="AO144" s="20" t="s">
        <v>787</v>
      </c>
      <c r="AP144" s="20">
        <v>423302</v>
      </c>
      <c r="AQ144" s="28" t="s">
        <v>848</v>
      </c>
      <c r="AR144" s="37">
        <v>89100100035530</v>
      </c>
      <c r="AS144" s="28" t="s">
        <v>1250</v>
      </c>
      <c r="AT144" s="61" t="s">
        <v>1112</v>
      </c>
    </row>
    <row r="145" spans="1:46" s="66" customFormat="1" x14ac:dyDescent="0.25">
      <c r="A145" s="62">
        <v>140</v>
      </c>
      <c r="B145" s="48" t="s">
        <v>1080</v>
      </c>
      <c r="C145" s="62" t="s">
        <v>50</v>
      </c>
      <c r="D145" s="67" t="s">
        <v>1140</v>
      </c>
      <c r="E145" s="57" t="s">
        <v>393</v>
      </c>
      <c r="F145" s="57" t="s">
        <v>499</v>
      </c>
      <c r="G145" s="62" t="s">
        <v>64</v>
      </c>
      <c r="H145" s="62"/>
      <c r="I145" s="62" t="s">
        <v>1129</v>
      </c>
      <c r="J145" s="62" t="s">
        <v>1309</v>
      </c>
      <c r="K145" s="62" t="s">
        <v>67</v>
      </c>
      <c r="L145" s="62" t="s">
        <v>69</v>
      </c>
      <c r="M145" s="62" t="s">
        <v>539</v>
      </c>
      <c r="N145" s="14" t="s">
        <v>144</v>
      </c>
      <c r="O145" s="62" t="s">
        <v>542</v>
      </c>
      <c r="P145" s="62" t="s">
        <v>68</v>
      </c>
      <c r="Q145" s="63" t="s">
        <v>545</v>
      </c>
      <c r="R145" s="62" t="s">
        <v>46</v>
      </c>
      <c r="S145" s="62" t="s">
        <v>155</v>
      </c>
      <c r="T145" s="62" t="s">
        <v>43</v>
      </c>
      <c r="U145" s="62"/>
      <c r="V145" s="62" t="s">
        <v>1152</v>
      </c>
      <c r="W145" s="62"/>
      <c r="X145" s="62"/>
      <c r="Y145" s="63"/>
      <c r="Z145" s="62"/>
      <c r="AA145" s="62">
        <v>7083530326</v>
      </c>
      <c r="AB145" s="62" t="s">
        <v>1319</v>
      </c>
      <c r="AC145" s="62"/>
      <c r="AD145" s="62" t="s">
        <v>393</v>
      </c>
      <c r="AE145" s="62">
        <v>7083530326</v>
      </c>
      <c r="AF145" s="62"/>
      <c r="AG145" s="62" t="s">
        <v>1130</v>
      </c>
      <c r="AH145" s="64" t="s">
        <v>1278</v>
      </c>
      <c r="AI145" s="64" t="s">
        <v>799</v>
      </c>
      <c r="AJ145" s="62" t="s">
        <v>787</v>
      </c>
      <c r="AK145" s="62">
        <v>424305</v>
      </c>
      <c r="AL145" s="62" t="s">
        <v>1130</v>
      </c>
      <c r="AM145" s="64" t="s">
        <v>1278</v>
      </c>
      <c r="AN145" s="64" t="s">
        <v>799</v>
      </c>
      <c r="AO145" s="62" t="s">
        <v>787</v>
      </c>
      <c r="AP145" s="62">
        <v>424305</v>
      </c>
      <c r="AQ145" s="46" t="s">
        <v>840</v>
      </c>
      <c r="AR145" s="62">
        <v>36705934376</v>
      </c>
      <c r="AS145" s="62" t="s">
        <v>898</v>
      </c>
      <c r="AT145" s="65" t="s">
        <v>1113</v>
      </c>
    </row>
    <row r="146" spans="1:46" x14ac:dyDescent="0.25">
      <c r="A146" s="20">
        <v>141</v>
      </c>
      <c r="B146" s="21" t="s">
        <v>1081</v>
      </c>
      <c r="C146" s="20" t="s">
        <v>50</v>
      </c>
      <c r="D146" s="22" t="s">
        <v>1141</v>
      </c>
      <c r="E146" s="22" t="s">
        <v>1146</v>
      </c>
      <c r="F146" s="22" t="s">
        <v>496</v>
      </c>
      <c r="G146" s="20" t="s">
        <v>64</v>
      </c>
      <c r="H146" s="20"/>
      <c r="I146" s="20" t="s">
        <v>1167</v>
      </c>
      <c r="J146" s="20" t="s">
        <v>1309</v>
      </c>
      <c r="K146" s="20" t="s">
        <v>67</v>
      </c>
      <c r="L146" s="20" t="s">
        <v>69</v>
      </c>
      <c r="M146" s="20" t="s">
        <v>539</v>
      </c>
      <c r="N146" s="4" t="s">
        <v>144</v>
      </c>
      <c r="O146" s="20" t="s">
        <v>542</v>
      </c>
      <c r="P146" s="20" t="s">
        <v>68</v>
      </c>
      <c r="Q146" s="23" t="s">
        <v>545</v>
      </c>
      <c r="R146" s="20" t="s">
        <v>46</v>
      </c>
      <c r="S146" s="20" t="s">
        <v>155</v>
      </c>
      <c r="T146" s="20" t="s">
        <v>43</v>
      </c>
      <c r="U146" s="20"/>
      <c r="V146" s="23">
        <v>100933759020</v>
      </c>
      <c r="W146" s="20"/>
      <c r="X146" s="20" t="s">
        <v>1418</v>
      </c>
      <c r="Y146" s="23"/>
      <c r="Z146" s="20">
        <v>424376205493</v>
      </c>
      <c r="AA146" s="20">
        <v>9359083431</v>
      </c>
      <c r="AB146" s="20" t="s">
        <v>1185</v>
      </c>
      <c r="AC146" s="20"/>
      <c r="AD146" s="20" t="s">
        <v>1146</v>
      </c>
      <c r="AE146" s="20">
        <v>9359083431</v>
      </c>
      <c r="AF146" s="20"/>
      <c r="AG146" s="36" t="s">
        <v>1197</v>
      </c>
      <c r="AH146" s="20" t="s">
        <v>723</v>
      </c>
      <c r="AI146" s="5" t="s">
        <v>799</v>
      </c>
      <c r="AJ146" s="20" t="s">
        <v>786</v>
      </c>
      <c r="AK146" s="20">
        <v>424305</v>
      </c>
      <c r="AL146" s="36" t="s">
        <v>1197</v>
      </c>
      <c r="AM146" s="20" t="s">
        <v>723</v>
      </c>
      <c r="AN146" s="5" t="s">
        <v>799</v>
      </c>
      <c r="AO146" s="20" t="s">
        <v>786</v>
      </c>
      <c r="AP146" s="20">
        <v>424305</v>
      </c>
      <c r="AQ146" s="28" t="s">
        <v>839</v>
      </c>
      <c r="AR146" s="20">
        <v>80025860575</v>
      </c>
      <c r="AS146" s="28" t="s">
        <v>894</v>
      </c>
      <c r="AT146" s="61" t="s">
        <v>1114</v>
      </c>
    </row>
    <row r="147" spans="1:46" x14ac:dyDescent="0.25">
      <c r="A147" s="20">
        <v>142</v>
      </c>
      <c r="B147" s="21" t="s">
        <v>1083</v>
      </c>
      <c r="C147" s="20" t="s">
        <v>50</v>
      </c>
      <c r="D147" s="22" t="s">
        <v>391</v>
      </c>
      <c r="E147" s="22" t="s">
        <v>364</v>
      </c>
      <c r="F147" s="22" t="s">
        <v>493</v>
      </c>
      <c r="G147" s="20" t="s">
        <v>64</v>
      </c>
      <c r="H147" s="20"/>
      <c r="I147" s="20" t="s">
        <v>1168</v>
      </c>
      <c r="J147" s="20" t="s">
        <v>1309</v>
      </c>
      <c r="K147" s="20" t="s">
        <v>67</v>
      </c>
      <c r="L147" s="20" t="s">
        <v>69</v>
      </c>
      <c r="M147" s="20" t="s">
        <v>539</v>
      </c>
      <c r="N147" s="4" t="s">
        <v>144</v>
      </c>
      <c r="O147" s="20" t="s">
        <v>542</v>
      </c>
      <c r="P147" s="20" t="s">
        <v>68</v>
      </c>
      <c r="Q147" s="23" t="s">
        <v>545</v>
      </c>
      <c r="R147" s="20" t="s">
        <v>46</v>
      </c>
      <c r="S147" s="20" t="s">
        <v>155</v>
      </c>
      <c r="T147" s="20" t="s">
        <v>43</v>
      </c>
      <c r="U147" s="20"/>
      <c r="V147" s="23">
        <v>101406326233</v>
      </c>
      <c r="W147" s="20">
        <v>3312813188</v>
      </c>
      <c r="X147" s="20" t="s">
        <v>1184</v>
      </c>
      <c r="Y147" s="23"/>
      <c r="Z147" s="20">
        <v>934602764106</v>
      </c>
      <c r="AA147" s="20">
        <v>8411851561</v>
      </c>
      <c r="AB147" s="20" t="s">
        <v>1185</v>
      </c>
      <c r="AC147" s="20"/>
      <c r="AD147" s="20" t="s">
        <v>364</v>
      </c>
      <c r="AE147" s="20">
        <v>8411851561</v>
      </c>
      <c r="AF147" s="20"/>
      <c r="AG147" s="25" t="s">
        <v>739</v>
      </c>
      <c r="AH147" s="34" t="s">
        <v>942</v>
      </c>
      <c r="AI147" s="5" t="s">
        <v>799</v>
      </c>
      <c r="AJ147" s="20" t="s">
        <v>781</v>
      </c>
      <c r="AK147" s="33">
        <v>424305</v>
      </c>
      <c r="AL147" s="25" t="s">
        <v>739</v>
      </c>
      <c r="AM147" s="34" t="s">
        <v>942</v>
      </c>
      <c r="AN147" s="5" t="s">
        <v>799</v>
      </c>
      <c r="AO147" s="20" t="s">
        <v>781</v>
      </c>
      <c r="AP147" s="33">
        <v>424305</v>
      </c>
      <c r="AQ147" s="28" t="s">
        <v>840</v>
      </c>
      <c r="AR147" s="20">
        <v>20366680547</v>
      </c>
      <c r="AS147" s="20" t="s">
        <v>895</v>
      </c>
      <c r="AT147" s="61" t="s">
        <v>1115</v>
      </c>
    </row>
    <row r="148" spans="1:46" x14ac:dyDescent="0.25">
      <c r="A148" s="20">
        <v>143</v>
      </c>
      <c r="B148" s="21" t="s">
        <v>1084</v>
      </c>
      <c r="C148" s="20" t="s">
        <v>50</v>
      </c>
      <c r="D148" s="22" t="s">
        <v>396</v>
      </c>
      <c r="E148" s="22" t="s">
        <v>1153</v>
      </c>
      <c r="F148" s="22" t="s">
        <v>506</v>
      </c>
      <c r="G148" s="20" t="s">
        <v>64</v>
      </c>
      <c r="H148" s="20"/>
      <c r="I148" s="31">
        <v>36895</v>
      </c>
      <c r="J148" s="20" t="s">
        <v>1309</v>
      </c>
      <c r="K148" s="20" t="s">
        <v>67</v>
      </c>
      <c r="L148" s="20" t="s">
        <v>69</v>
      </c>
      <c r="M148" s="20" t="s">
        <v>539</v>
      </c>
      <c r="N148" s="4" t="s">
        <v>144</v>
      </c>
      <c r="O148" s="20" t="s">
        <v>542</v>
      </c>
      <c r="P148" s="20" t="s">
        <v>68</v>
      </c>
      <c r="Q148" s="23" t="s">
        <v>545</v>
      </c>
      <c r="R148" s="20" t="s">
        <v>46</v>
      </c>
      <c r="S148" s="20" t="s">
        <v>155</v>
      </c>
      <c r="T148" s="20" t="s">
        <v>43</v>
      </c>
      <c r="U148" s="20"/>
      <c r="V148" s="23">
        <v>102325771021</v>
      </c>
      <c r="W148" s="20"/>
      <c r="X148" s="20" t="s">
        <v>1419</v>
      </c>
      <c r="Y148" s="23"/>
      <c r="Z148" s="20">
        <v>936169572052</v>
      </c>
      <c r="AA148" s="20">
        <v>9049045857</v>
      </c>
      <c r="AB148" s="20" t="s">
        <v>1185</v>
      </c>
      <c r="AC148" s="20"/>
      <c r="AD148" s="20" t="s">
        <v>1153</v>
      </c>
      <c r="AE148" s="20">
        <v>9049045857</v>
      </c>
      <c r="AF148" s="20"/>
      <c r="AG148" s="5" t="s">
        <v>1421</v>
      </c>
      <c r="AH148" s="5" t="s">
        <v>1420</v>
      </c>
      <c r="AI148" s="5" t="s">
        <v>799</v>
      </c>
      <c r="AJ148" s="20" t="s">
        <v>1420</v>
      </c>
      <c r="AK148" s="20">
        <v>425408</v>
      </c>
      <c r="AL148" s="5" t="s">
        <v>1421</v>
      </c>
      <c r="AM148" s="5" t="s">
        <v>1420</v>
      </c>
      <c r="AN148" s="5" t="s">
        <v>799</v>
      </c>
      <c r="AO148" s="20" t="s">
        <v>1420</v>
      </c>
      <c r="AP148" s="20">
        <v>425408</v>
      </c>
      <c r="AQ148" s="20" t="s">
        <v>842</v>
      </c>
      <c r="AR148" s="20">
        <v>165722010000725</v>
      </c>
      <c r="AS148" s="20" t="s">
        <v>1422</v>
      </c>
      <c r="AT148" s="61" t="s">
        <v>1116</v>
      </c>
    </row>
    <row r="149" spans="1:46" x14ac:dyDescent="0.25">
      <c r="A149" s="20">
        <v>144</v>
      </c>
      <c r="B149" s="21" t="s">
        <v>1085</v>
      </c>
      <c r="C149" s="20" t="s">
        <v>50</v>
      </c>
      <c r="D149" s="22" t="s">
        <v>1154</v>
      </c>
      <c r="E149" s="22" t="s">
        <v>1155</v>
      </c>
      <c r="F149" s="22" t="s">
        <v>493</v>
      </c>
      <c r="G149" s="20" t="s">
        <v>64</v>
      </c>
      <c r="H149" s="20"/>
      <c r="I149" s="20" t="s">
        <v>1169</v>
      </c>
      <c r="J149" s="20" t="s">
        <v>1309</v>
      </c>
      <c r="K149" s="20" t="s">
        <v>67</v>
      </c>
      <c r="L149" s="20" t="s">
        <v>69</v>
      </c>
      <c r="M149" s="20" t="s">
        <v>539</v>
      </c>
      <c r="N149" s="4" t="s">
        <v>144</v>
      </c>
      <c r="O149" s="20" t="s">
        <v>542</v>
      </c>
      <c r="P149" s="20" t="s">
        <v>68</v>
      </c>
      <c r="Q149" s="23" t="s">
        <v>545</v>
      </c>
      <c r="R149" s="20" t="s">
        <v>46</v>
      </c>
      <c r="S149" s="20" t="s">
        <v>155</v>
      </c>
      <c r="T149" s="20" t="s">
        <v>43</v>
      </c>
      <c r="U149" s="20"/>
      <c r="V149" s="23">
        <v>102325774086</v>
      </c>
      <c r="W149" s="20"/>
      <c r="X149" s="20" t="s">
        <v>1423</v>
      </c>
      <c r="Y149" s="23"/>
      <c r="Z149" s="20">
        <v>651512756118</v>
      </c>
      <c r="AA149" s="20">
        <v>7875864385</v>
      </c>
      <c r="AB149" s="20" t="s">
        <v>1319</v>
      </c>
      <c r="AC149" s="20"/>
      <c r="AD149" s="20" t="s">
        <v>1155</v>
      </c>
      <c r="AE149" s="20">
        <v>7875864385</v>
      </c>
      <c r="AF149" s="20"/>
      <c r="AG149" s="25" t="s">
        <v>739</v>
      </c>
      <c r="AH149" s="34" t="s">
        <v>942</v>
      </c>
      <c r="AI149" s="5" t="s">
        <v>799</v>
      </c>
      <c r="AJ149" s="20" t="s">
        <v>781</v>
      </c>
      <c r="AK149" s="33">
        <v>424305</v>
      </c>
      <c r="AL149" s="25" t="s">
        <v>739</v>
      </c>
      <c r="AM149" s="34" t="s">
        <v>942</v>
      </c>
      <c r="AN149" s="5" t="s">
        <v>799</v>
      </c>
      <c r="AO149" s="20" t="s">
        <v>781</v>
      </c>
      <c r="AP149" s="33">
        <v>424305</v>
      </c>
      <c r="AQ149" s="20" t="s">
        <v>840</v>
      </c>
      <c r="AR149" s="20">
        <v>37469889151</v>
      </c>
      <c r="AS149" s="20" t="s">
        <v>895</v>
      </c>
      <c r="AT149" s="61" t="s">
        <v>1117</v>
      </c>
    </row>
    <row r="150" spans="1:46" x14ac:dyDescent="0.25">
      <c r="A150" s="20">
        <v>145</v>
      </c>
      <c r="B150" s="21" t="s">
        <v>1086</v>
      </c>
      <c r="C150" s="20" t="s">
        <v>50</v>
      </c>
      <c r="D150" s="22" t="s">
        <v>818</v>
      </c>
      <c r="E150" s="22" t="s">
        <v>453</v>
      </c>
      <c r="F150" s="22" t="s">
        <v>516</v>
      </c>
      <c r="G150" s="20" t="s">
        <v>64</v>
      </c>
      <c r="H150" s="20"/>
      <c r="I150" s="20" t="s">
        <v>1170</v>
      </c>
      <c r="J150" s="20" t="s">
        <v>1309</v>
      </c>
      <c r="K150" s="20" t="s">
        <v>67</v>
      </c>
      <c r="L150" s="20" t="s">
        <v>69</v>
      </c>
      <c r="M150" s="20" t="s">
        <v>539</v>
      </c>
      <c r="N150" s="4" t="s">
        <v>144</v>
      </c>
      <c r="O150" s="20" t="s">
        <v>542</v>
      </c>
      <c r="P150" s="20" t="s">
        <v>68</v>
      </c>
      <c r="Q150" s="23" t="s">
        <v>545</v>
      </c>
      <c r="R150" s="20" t="s">
        <v>46</v>
      </c>
      <c r="S150" s="20" t="s">
        <v>155</v>
      </c>
      <c r="T150" s="20" t="s">
        <v>43</v>
      </c>
      <c r="U150" s="20"/>
      <c r="V150" s="23">
        <v>101842824615</v>
      </c>
      <c r="W150" s="20"/>
      <c r="X150" s="20" t="s">
        <v>1424</v>
      </c>
      <c r="Y150" s="23"/>
      <c r="Z150" s="20">
        <v>870483439799</v>
      </c>
      <c r="AA150" s="20">
        <v>7066055219</v>
      </c>
      <c r="AB150" s="20" t="s">
        <v>1319</v>
      </c>
      <c r="AC150" s="20"/>
      <c r="AD150" s="20" t="s">
        <v>453</v>
      </c>
      <c r="AE150" s="20">
        <v>7066055219</v>
      </c>
      <c r="AF150" s="20"/>
      <c r="AG150" s="5" t="s">
        <v>1425</v>
      </c>
      <c r="AH150" s="5" t="s">
        <v>1425</v>
      </c>
      <c r="AI150" s="5" t="s">
        <v>799</v>
      </c>
      <c r="AJ150" s="20" t="s">
        <v>779</v>
      </c>
      <c r="AK150" s="20">
        <v>425412</v>
      </c>
      <c r="AL150" s="5" t="s">
        <v>1425</v>
      </c>
      <c r="AM150" s="5" t="s">
        <v>1425</v>
      </c>
      <c r="AN150" s="5" t="s">
        <v>799</v>
      </c>
      <c r="AO150" s="20" t="s">
        <v>779</v>
      </c>
      <c r="AP150" s="20">
        <v>425412</v>
      </c>
      <c r="AQ150" s="20" t="s">
        <v>844</v>
      </c>
      <c r="AR150" s="20">
        <v>50100399878642</v>
      </c>
      <c r="AS150" s="20" t="s">
        <v>1426</v>
      </c>
      <c r="AT150" s="61" t="s">
        <v>1118</v>
      </c>
    </row>
    <row r="151" spans="1:46" x14ac:dyDescent="0.25">
      <c r="A151" s="20">
        <v>146</v>
      </c>
      <c r="B151" s="21" t="s">
        <v>1087</v>
      </c>
      <c r="C151" s="20" t="s">
        <v>50</v>
      </c>
      <c r="D151" s="22" t="s">
        <v>1142</v>
      </c>
      <c r="E151" s="22" t="s">
        <v>1147</v>
      </c>
      <c r="F151" s="22" t="s">
        <v>1150</v>
      </c>
      <c r="G151" s="20" t="s">
        <v>64</v>
      </c>
      <c r="H151" s="20"/>
      <c r="I151" s="20" t="s">
        <v>1171</v>
      </c>
      <c r="J151" s="20" t="s">
        <v>1309</v>
      </c>
      <c r="K151" s="20" t="s">
        <v>67</v>
      </c>
      <c r="L151" s="20" t="s">
        <v>69</v>
      </c>
      <c r="M151" s="20" t="s">
        <v>539</v>
      </c>
      <c r="N151" s="4" t="s">
        <v>144</v>
      </c>
      <c r="O151" s="20" t="s">
        <v>542</v>
      </c>
      <c r="P151" s="20" t="s">
        <v>68</v>
      </c>
      <c r="Q151" s="23" t="s">
        <v>545</v>
      </c>
      <c r="R151" s="20" t="s">
        <v>46</v>
      </c>
      <c r="S151" s="20" t="s">
        <v>155</v>
      </c>
      <c r="T151" s="20" t="s">
        <v>43</v>
      </c>
      <c r="U151" s="20"/>
      <c r="V151" s="23">
        <v>102326652007</v>
      </c>
      <c r="W151" s="20"/>
      <c r="X151" s="20" t="s">
        <v>1427</v>
      </c>
      <c r="Y151" s="23"/>
      <c r="Z151" s="20">
        <v>730954794701</v>
      </c>
      <c r="AA151" s="20">
        <v>9030815025</v>
      </c>
      <c r="AB151" s="20" t="s">
        <v>1319</v>
      </c>
      <c r="AC151" s="20"/>
      <c r="AD151" s="20" t="s">
        <v>1147</v>
      </c>
      <c r="AE151" s="20">
        <v>7030815025</v>
      </c>
      <c r="AF151" s="20"/>
      <c r="AG151" s="25" t="s">
        <v>739</v>
      </c>
      <c r="AH151" s="34" t="s">
        <v>942</v>
      </c>
      <c r="AI151" s="5" t="s">
        <v>799</v>
      </c>
      <c r="AJ151" s="20" t="s">
        <v>781</v>
      </c>
      <c r="AK151" s="33">
        <v>424305</v>
      </c>
      <c r="AL151" s="25" t="s">
        <v>739</v>
      </c>
      <c r="AM151" s="34" t="s">
        <v>942</v>
      </c>
      <c r="AN151" s="5" t="s">
        <v>799</v>
      </c>
      <c r="AO151" s="20" t="s">
        <v>781</v>
      </c>
      <c r="AP151" s="33">
        <v>424305</v>
      </c>
      <c r="AQ151" s="20" t="s">
        <v>1428</v>
      </c>
      <c r="AR151" s="20" t="s">
        <v>1429</v>
      </c>
      <c r="AS151" s="20" t="s">
        <v>922</v>
      </c>
      <c r="AT151" s="61" t="s">
        <v>1119</v>
      </c>
    </row>
    <row r="152" spans="1:46" x14ac:dyDescent="0.25">
      <c r="A152" s="20">
        <v>147</v>
      </c>
      <c r="B152" s="21" t="s">
        <v>1088</v>
      </c>
      <c r="C152" s="20" t="s">
        <v>50</v>
      </c>
      <c r="D152" s="22" t="s">
        <v>391</v>
      </c>
      <c r="E152" s="22" t="s">
        <v>381</v>
      </c>
      <c r="F152" s="22" t="s">
        <v>496</v>
      </c>
      <c r="G152" s="20" t="s">
        <v>64</v>
      </c>
      <c r="H152" s="20"/>
      <c r="I152" s="20" t="s">
        <v>1172</v>
      </c>
      <c r="J152" s="20" t="s">
        <v>1309</v>
      </c>
      <c r="K152" s="20" t="s">
        <v>67</v>
      </c>
      <c r="L152" s="20" t="s">
        <v>69</v>
      </c>
      <c r="M152" s="20" t="s">
        <v>539</v>
      </c>
      <c r="N152" s="4" t="s">
        <v>144</v>
      </c>
      <c r="O152" s="20" t="s">
        <v>542</v>
      </c>
      <c r="P152" s="20" t="s">
        <v>68</v>
      </c>
      <c r="Q152" s="23" t="s">
        <v>545</v>
      </c>
      <c r="R152" s="20" t="s">
        <v>46</v>
      </c>
      <c r="S152" s="20" t="s">
        <v>155</v>
      </c>
      <c r="T152" s="20" t="s">
        <v>43</v>
      </c>
      <c r="U152" s="20"/>
      <c r="V152" s="23">
        <v>102325775314</v>
      </c>
      <c r="W152" s="20"/>
      <c r="X152" s="20" t="s">
        <v>1430</v>
      </c>
      <c r="Y152" s="23"/>
      <c r="Z152" s="20">
        <v>859879197729</v>
      </c>
      <c r="AA152" s="20">
        <v>7798526414</v>
      </c>
      <c r="AB152" s="20" t="s">
        <v>1319</v>
      </c>
      <c r="AC152" s="20"/>
      <c r="AD152" s="20" t="s">
        <v>381</v>
      </c>
      <c r="AE152" s="20">
        <v>7798526414</v>
      </c>
      <c r="AF152" s="20"/>
      <c r="AG152" s="5" t="s">
        <v>1431</v>
      </c>
      <c r="AH152" s="5" t="s">
        <v>1432</v>
      </c>
      <c r="AI152" s="5" t="s">
        <v>799</v>
      </c>
      <c r="AJ152" s="20" t="s">
        <v>784</v>
      </c>
      <c r="AK152" s="20">
        <v>424304</v>
      </c>
      <c r="AL152" s="5" t="s">
        <v>1431</v>
      </c>
      <c r="AM152" s="5" t="s">
        <v>1432</v>
      </c>
      <c r="AN152" s="5" t="s">
        <v>799</v>
      </c>
      <c r="AO152" s="20" t="s">
        <v>784</v>
      </c>
      <c r="AP152" s="20">
        <v>424304</v>
      </c>
      <c r="AQ152" s="20" t="s">
        <v>844</v>
      </c>
      <c r="AR152" s="20">
        <v>50100399754751</v>
      </c>
      <c r="AS152" s="20" t="s">
        <v>1433</v>
      </c>
      <c r="AT152" s="61" t="s">
        <v>1120</v>
      </c>
    </row>
    <row r="153" spans="1:46" x14ac:dyDescent="0.25">
      <c r="A153" s="20">
        <v>148</v>
      </c>
      <c r="B153" s="21" t="s">
        <v>1089</v>
      </c>
      <c r="C153" s="20" t="s">
        <v>50</v>
      </c>
      <c r="D153" s="22" t="s">
        <v>1143</v>
      </c>
      <c r="E153" s="22" t="s">
        <v>438</v>
      </c>
      <c r="F153" s="22" t="s">
        <v>518</v>
      </c>
      <c r="G153" s="20" t="s">
        <v>64</v>
      </c>
      <c r="H153" s="20"/>
      <c r="I153" s="31">
        <v>39723</v>
      </c>
      <c r="J153" s="20" t="s">
        <v>1309</v>
      </c>
      <c r="K153" s="20" t="s">
        <v>67</v>
      </c>
      <c r="L153" s="20" t="s">
        <v>69</v>
      </c>
      <c r="M153" s="20" t="s">
        <v>539</v>
      </c>
      <c r="N153" s="4" t="s">
        <v>144</v>
      </c>
      <c r="O153" s="20" t="s">
        <v>542</v>
      </c>
      <c r="P153" s="20" t="s">
        <v>68</v>
      </c>
      <c r="Q153" s="23" t="s">
        <v>545</v>
      </c>
      <c r="R153" s="20" t="s">
        <v>46</v>
      </c>
      <c r="S153" s="20" t="s">
        <v>155</v>
      </c>
      <c r="T153" s="20" t="s">
        <v>43</v>
      </c>
      <c r="U153" s="20"/>
      <c r="V153" s="23">
        <v>102325772127</v>
      </c>
      <c r="W153" s="20"/>
      <c r="X153" s="20" t="s">
        <v>1434</v>
      </c>
      <c r="Y153" s="23"/>
      <c r="Z153" s="20">
        <v>551360985188</v>
      </c>
      <c r="AA153" s="20">
        <v>8459080457</v>
      </c>
      <c r="AB153" s="20" t="s">
        <v>1319</v>
      </c>
      <c r="AC153" s="20"/>
      <c r="AD153" s="20" t="s">
        <v>438</v>
      </c>
      <c r="AE153" s="20">
        <v>8459080457</v>
      </c>
      <c r="AF153" s="20"/>
      <c r="AG153" s="36" t="s">
        <v>1197</v>
      </c>
      <c r="AH153" s="20" t="s">
        <v>723</v>
      </c>
      <c r="AI153" s="5" t="s">
        <v>799</v>
      </c>
      <c r="AJ153" s="20" t="s">
        <v>786</v>
      </c>
      <c r="AK153" s="20">
        <v>424305</v>
      </c>
      <c r="AL153" s="36" t="s">
        <v>1197</v>
      </c>
      <c r="AM153" s="20" t="s">
        <v>723</v>
      </c>
      <c r="AN153" s="5" t="s">
        <v>799</v>
      </c>
      <c r="AO153" s="20" t="s">
        <v>786</v>
      </c>
      <c r="AP153" s="20">
        <v>424305</v>
      </c>
      <c r="AQ153" s="28" t="s">
        <v>839</v>
      </c>
      <c r="AR153" s="20">
        <v>801028876747</v>
      </c>
      <c r="AS153" s="20" t="s">
        <v>894</v>
      </c>
      <c r="AT153" s="61" t="s">
        <v>1121</v>
      </c>
    </row>
    <row r="154" spans="1:46" x14ac:dyDescent="0.25">
      <c r="A154" s="20">
        <v>149</v>
      </c>
      <c r="B154" s="21" t="s">
        <v>1090</v>
      </c>
      <c r="C154" s="20" t="s">
        <v>50</v>
      </c>
      <c r="D154" s="22" t="s">
        <v>1156</v>
      </c>
      <c r="E154" s="22" t="s">
        <v>471</v>
      </c>
      <c r="F154" s="22" t="s">
        <v>1151</v>
      </c>
      <c r="G154" s="20" t="s">
        <v>64</v>
      </c>
      <c r="H154" s="20"/>
      <c r="I154" s="20" t="s">
        <v>1173</v>
      </c>
      <c r="J154" s="20" t="s">
        <v>1309</v>
      </c>
      <c r="K154" s="20" t="s">
        <v>67</v>
      </c>
      <c r="L154" s="20" t="s">
        <v>69</v>
      </c>
      <c r="M154" s="20" t="s">
        <v>539</v>
      </c>
      <c r="N154" s="4" t="s">
        <v>144</v>
      </c>
      <c r="O154" s="20" t="s">
        <v>542</v>
      </c>
      <c r="P154" s="20" t="s">
        <v>68</v>
      </c>
      <c r="Q154" s="23" t="s">
        <v>545</v>
      </c>
      <c r="R154" s="20" t="s">
        <v>46</v>
      </c>
      <c r="S154" s="20" t="s">
        <v>155</v>
      </c>
      <c r="T154" s="20" t="s">
        <v>43</v>
      </c>
      <c r="U154" s="20"/>
      <c r="V154" s="23">
        <v>102325778128</v>
      </c>
      <c r="W154" s="20"/>
      <c r="X154" s="20" t="s">
        <v>1435</v>
      </c>
      <c r="Y154" s="23"/>
      <c r="Z154" s="20">
        <v>202253096149</v>
      </c>
      <c r="AA154" s="20">
        <v>9370961485</v>
      </c>
      <c r="AB154" s="20" t="s">
        <v>1185</v>
      </c>
      <c r="AC154" s="20"/>
      <c r="AD154" s="20" t="s">
        <v>471</v>
      </c>
      <c r="AE154" s="20">
        <v>9370961485</v>
      </c>
      <c r="AF154" s="20"/>
      <c r="AG154" s="36" t="s">
        <v>1197</v>
      </c>
      <c r="AH154" s="20" t="s">
        <v>723</v>
      </c>
      <c r="AI154" s="5" t="s">
        <v>799</v>
      </c>
      <c r="AJ154" s="20" t="s">
        <v>786</v>
      </c>
      <c r="AK154" s="20">
        <v>424305</v>
      </c>
      <c r="AL154" s="36" t="s">
        <v>1197</v>
      </c>
      <c r="AM154" s="20" t="s">
        <v>723</v>
      </c>
      <c r="AN154" s="5" t="s">
        <v>799</v>
      </c>
      <c r="AO154" s="20" t="s">
        <v>786</v>
      </c>
      <c r="AP154" s="20">
        <v>424305</v>
      </c>
      <c r="AQ154" s="28" t="s">
        <v>839</v>
      </c>
      <c r="AR154" s="20">
        <v>80023088756</v>
      </c>
      <c r="AS154" s="20" t="s">
        <v>894</v>
      </c>
      <c r="AT154" s="61" t="s">
        <v>1122</v>
      </c>
    </row>
    <row r="155" spans="1:46" x14ac:dyDescent="0.25">
      <c r="A155" s="20">
        <v>150</v>
      </c>
      <c r="B155" s="21" t="s">
        <v>1091</v>
      </c>
      <c r="C155" s="20" t="s">
        <v>50</v>
      </c>
      <c r="D155" s="22" t="s">
        <v>1144</v>
      </c>
      <c r="E155" s="22" t="s">
        <v>465</v>
      </c>
      <c r="F155" s="22" t="s">
        <v>502</v>
      </c>
      <c r="G155" s="20" t="s">
        <v>64</v>
      </c>
      <c r="H155" s="20"/>
      <c r="I155" s="31">
        <v>33972</v>
      </c>
      <c r="J155" s="20" t="s">
        <v>1309</v>
      </c>
      <c r="K155" s="20" t="s">
        <v>67</v>
      </c>
      <c r="L155" s="20" t="s">
        <v>69</v>
      </c>
      <c r="M155" s="20" t="s">
        <v>539</v>
      </c>
      <c r="N155" s="4" t="s">
        <v>144</v>
      </c>
      <c r="O155" s="20" t="s">
        <v>542</v>
      </c>
      <c r="P155" s="20" t="s">
        <v>68</v>
      </c>
      <c r="Q155" s="23" t="s">
        <v>545</v>
      </c>
      <c r="R155" s="20" t="s">
        <v>46</v>
      </c>
      <c r="S155" s="20" t="s">
        <v>155</v>
      </c>
      <c r="T155" s="20" t="s">
        <v>43</v>
      </c>
      <c r="U155" s="20"/>
      <c r="V155" s="23">
        <v>102044263326</v>
      </c>
      <c r="W155" s="20"/>
      <c r="X155" s="20" t="s">
        <v>1436</v>
      </c>
      <c r="Y155" s="23"/>
      <c r="Z155" s="20">
        <v>772224684374</v>
      </c>
      <c r="AA155" s="20">
        <v>8104169574</v>
      </c>
      <c r="AB155" s="20" t="s">
        <v>1185</v>
      </c>
      <c r="AC155" s="20"/>
      <c r="AD155" s="20" t="s">
        <v>465</v>
      </c>
      <c r="AE155" s="20">
        <v>8104169574</v>
      </c>
      <c r="AF155" s="20"/>
      <c r="AG155" s="5" t="s">
        <v>1437</v>
      </c>
      <c r="AH155" s="5" t="s">
        <v>766</v>
      </c>
      <c r="AI155" s="5" t="s">
        <v>799</v>
      </c>
      <c r="AJ155" s="20" t="s">
        <v>779</v>
      </c>
      <c r="AK155" s="20">
        <v>424305</v>
      </c>
      <c r="AL155" s="5" t="s">
        <v>1437</v>
      </c>
      <c r="AM155" s="5" t="s">
        <v>766</v>
      </c>
      <c r="AN155" s="5" t="s">
        <v>799</v>
      </c>
      <c r="AO155" s="20" t="s">
        <v>779</v>
      </c>
      <c r="AP155" s="20">
        <v>424305</v>
      </c>
      <c r="AQ155" s="28" t="s">
        <v>840</v>
      </c>
      <c r="AR155" s="20">
        <v>41625517537</v>
      </c>
      <c r="AS155" s="20" t="s">
        <v>1438</v>
      </c>
      <c r="AT155" s="61" t="s">
        <v>1123</v>
      </c>
    </row>
    <row r="156" spans="1:46" x14ac:dyDescent="0.25">
      <c r="A156" s="20">
        <v>151</v>
      </c>
      <c r="B156" s="21" t="s">
        <v>1092</v>
      </c>
      <c r="C156" s="20" t="s">
        <v>50</v>
      </c>
      <c r="D156" s="22" t="s">
        <v>418</v>
      </c>
      <c r="E156" s="22" t="s">
        <v>1148</v>
      </c>
      <c r="F156" s="22" t="s">
        <v>493</v>
      </c>
      <c r="G156" s="20" t="s">
        <v>64</v>
      </c>
      <c r="H156" s="20"/>
      <c r="I156" s="20" t="s">
        <v>1305</v>
      </c>
      <c r="J156" s="20" t="s">
        <v>1309</v>
      </c>
      <c r="K156" s="20" t="s">
        <v>67</v>
      </c>
      <c r="L156" s="20" t="s">
        <v>69</v>
      </c>
      <c r="M156" s="20" t="s">
        <v>539</v>
      </c>
      <c r="N156" s="4" t="s">
        <v>144</v>
      </c>
      <c r="O156" s="20" t="s">
        <v>542</v>
      </c>
      <c r="P156" s="20" t="s">
        <v>68</v>
      </c>
      <c r="Q156" s="23" t="s">
        <v>545</v>
      </c>
      <c r="R156" s="20" t="s">
        <v>46</v>
      </c>
      <c r="S156" s="20" t="s">
        <v>155</v>
      </c>
      <c r="T156" s="20" t="s">
        <v>43</v>
      </c>
      <c r="U156" s="20"/>
      <c r="V156" s="23">
        <v>102192939719</v>
      </c>
      <c r="W156" s="20"/>
      <c r="X156" s="20" t="s">
        <v>1439</v>
      </c>
      <c r="Y156" s="23"/>
      <c r="Z156" s="20">
        <v>763545091131</v>
      </c>
      <c r="AA156" s="20">
        <v>8329366186</v>
      </c>
      <c r="AB156" s="20" t="s">
        <v>1319</v>
      </c>
      <c r="AC156" s="20"/>
      <c r="AD156" s="20" t="s">
        <v>1148</v>
      </c>
      <c r="AE156" s="20">
        <v>8329366186</v>
      </c>
      <c r="AF156" s="20"/>
      <c r="AG156" s="5" t="s">
        <v>1440</v>
      </c>
      <c r="AH156" s="5" t="s">
        <v>1306</v>
      </c>
      <c r="AI156" s="5" t="s">
        <v>799</v>
      </c>
      <c r="AJ156" s="20" t="s">
        <v>787</v>
      </c>
      <c r="AK156" s="20">
        <v>424306</v>
      </c>
      <c r="AL156" s="5" t="s">
        <v>1440</v>
      </c>
      <c r="AM156" s="5" t="s">
        <v>1306</v>
      </c>
      <c r="AN156" s="5" t="s">
        <v>799</v>
      </c>
      <c r="AO156" s="20" t="s">
        <v>787</v>
      </c>
      <c r="AP156" s="20">
        <v>424306</v>
      </c>
      <c r="AQ156" s="20" t="s">
        <v>842</v>
      </c>
      <c r="AR156" s="20">
        <v>341502120016012</v>
      </c>
      <c r="AS156" s="20" t="s">
        <v>899</v>
      </c>
      <c r="AT156" s="61" t="s">
        <v>1124</v>
      </c>
    </row>
    <row r="157" spans="1:46" x14ac:dyDescent="0.25">
      <c r="A157" s="20">
        <v>152</v>
      </c>
      <c r="B157" s="21" t="s">
        <v>1093</v>
      </c>
      <c r="C157" s="20" t="s">
        <v>50</v>
      </c>
      <c r="D157" s="22" t="s">
        <v>387</v>
      </c>
      <c r="E157" s="22" t="s">
        <v>1149</v>
      </c>
      <c r="F157" s="22" t="s">
        <v>825</v>
      </c>
      <c r="G157" s="20" t="s">
        <v>64</v>
      </c>
      <c r="H157" s="20"/>
      <c r="I157" s="31">
        <v>36986</v>
      </c>
      <c r="J157" s="20" t="s">
        <v>1309</v>
      </c>
      <c r="K157" s="20" t="s">
        <v>67</v>
      </c>
      <c r="L157" s="20" t="s">
        <v>69</v>
      </c>
      <c r="M157" s="20" t="s">
        <v>539</v>
      </c>
      <c r="N157" s="4" t="s">
        <v>144</v>
      </c>
      <c r="O157" s="20" t="s">
        <v>542</v>
      </c>
      <c r="P157" s="20" t="s">
        <v>68</v>
      </c>
      <c r="Q157" s="23" t="s">
        <v>545</v>
      </c>
      <c r="R157" s="20" t="s">
        <v>46</v>
      </c>
      <c r="S157" s="20" t="s">
        <v>155</v>
      </c>
      <c r="T157" s="20" t="s">
        <v>43</v>
      </c>
      <c r="U157" s="20"/>
      <c r="V157" s="23">
        <v>101819155976</v>
      </c>
      <c r="W157" s="20"/>
      <c r="X157" s="20" t="s">
        <v>1444</v>
      </c>
      <c r="Y157" s="23"/>
      <c r="Z157" s="20">
        <v>907349675784</v>
      </c>
      <c r="AA157" s="20">
        <v>7620938240</v>
      </c>
      <c r="AB157" s="20" t="s">
        <v>1319</v>
      </c>
      <c r="AC157" s="20"/>
      <c r="AD157" s="20" t="s">
        <v>1149</v>
      </c>
      <c r="AE157" s="20">
        <v>7620938240</v>
      </c>
      <c r="AF157" s="20"/>
      <c r="AG157" s="5" t="s">
        <v>1441</v>
      </c>
      <c r="AH157" s="5" t="s">
        <v>1442</v>
      </c>
      <c r="AI157" s="5" t="s">
        <v>799</v>
      </c>
      <c r="AJ157" s="20" t="s">
        <v>1283</v>
      </c>
      <c r="AK157" s="20">
        <v>424305</v>
      </c>
      <c r="AL157" s="5" t="s">
        <v>1441</v>
      </c>
      <c r="AM157" s="5" t="s">
        <v>1442</v>
      </c>
      <c r="AN157" s="5" t="s">
        <v>799</v>
      </c>
      <c r="AO157" s="20" t="s">
        <v>1283</v>
      </c>
      <c r="AP157" s="20">
        <v>424305</v>
      </c>
      <c r="AQ157" s="28" t="s">
        <v>840</v>
      </c>
      <c r="AR157" s="20">
        <v>90172398796</v>
      </c>
      <c r="AS157" s="20" t="s">
        <v>1443</v>
      </c>
      <c r="AT157" s="61" t="s">
        <v>1125</v>
      </c>
    </row>
    <row r="158" spans="1:46" x14ac:dyDescent="0.25">
      <c r="A158" s="20">
        <v>153</v>
      </c>
      <c r="B158" s="21" t="s">
        <v>1094</v>
      </c>
      <c r="C158" s="20" t="s">
        <v>50</v>
      </c>
      <c r="D158" s="22" t="s">
        <v>1132</v>
      </c>
      <c r="E158" s="22" t="s">
        <v>528</v>
      </c>
      <c r="F158" s="22" t="s">
        <v>505</v>
      </c>
      <c r="G158" s="20" t="s">
        <v>64</v>
      </c>
      <c r="H158" s="20"/>
      <c r="I158" s="20" t="s">
        <v>1318</v>
      </c>
      <c r="J158" s="20" t="s">
        <v>1310</v>
      </c>
      <c r="K158" s="20" t="s">
        <v>67</v>
      </c>
      <c r="L158" s="20" t="s">
        <v>69</v>
      </c>
      <c r="M158" s="20" t="s">
        <v>539</v>
      </c>
      <c r="N158" s="4" t="s">
        <v>144</v>
      </c>
      <c r="O158" s="20" t="s">
        <v>542</v>
      </c>
      <c r="P158" s="20" t="s">
        <v>68</v>
      </c>
      <c r="Q158" s="23" t="s">
        <v>545</v>
      </c>
      <c r="R158" s="20" t="s">
        <v>46</v>
      </c>
      <c r="S158" s="20" t="s">
        <v>155</v>
      </c>
      <c r="T158" s="20" t="s">
        <v>43</v>
      </c>
      <c r="U158" s="20"/>
      <c r="V158" s="23">
        <v>101620827319</v>
      </c>
      <c r="W158" s="20"/>
      <c r="X158" s="20" t="s">
        <v>1445</v>
      </c>
      <c r="Y158" s="23"/>
      <c r="Z158" s="20">
        <v>441049726613</v>
      </c>
      <c r="AA158" s="20">
        <v>8830956234</v>
      </c>
      <c r="AB158" s="20" t="s">
        <v>1319</v>
      </c>
      <c r="AC158" s="20"/>
      <c r="AD158" s="20" t="s">
        <v>528</v>
      </c>
      <c r="AE158" s="20">
        <v>8830956234</v>
      </c>
      <c r="AF158" s="20"/>
      <c r="AG158" s="5" t="s">
        <v>1446</v>
      </c>
      <c r="AH158" s="5" t="s">
        <v>786</v>
      </c>
      <c r="AI158" s="5" t="s">
        <v>799</v>
      </c>
      <c r="AJ158" s="20" t="s">
        <v>779</v>
      </c>
      <c r="AK158" s="20">
        <v>425412</v>
      </c>
      <c r="AL158" s="5" t="s">
        <v>1446</v>
      </c>
      <c r="AM158" s="5" t="s">
        <v>786</v>
      </c>
      <c r="AN158" s="5" t="s">
        <v>799</v>
      </c>
      <c r="AO158" s="20" t="s">
        <v>779</v>
      </c>
      <c r="AP158" s="20">
        <v>425412</v>
      </c>
      <c r="AQ158" s="20" t="s">
        <v>982</v>
      </c>
      <c r="AR158" s="20">
        <v>60579451403</v>
      </c>
      <c r="AS158" s="20" t="s">
        <v>991</v>
      </c>
      <c r="AT158" s="61" t="s">
        <v>1126</v>
      </c>
    </row>
    <row r="159" spans="1:46" ht="14.25" customHeight="1" x14ac:dyDescent="0.25">
      <c r="A159" s="20">
        <v>154</v>
      </c>
      <c r="B159" s="21" t="s">
        <v>1095</v>
      </c>
      <c r="C159" s="20" t="s">
        <v>50</v>
      </c>
      <c r="D159" s="68" t="s">
        <v>1287</v>
      </c>
      <c r="E159" s="22" t="s">
        <v>1288</v>
      </c>
      <c r="F159" s="22" t="s">
        <v>502</v>
      </c>
      <c r="G159" s="20" t="s">
        <v>64</v>
      </c>
      <c r="H159" s="20"/>
      <c r="I159" s="20" t="s">
        <v>1332</v>
      </c>
      <c r="J159" s="20" t="s">
        <v>1303</v>
      </c>
      <c r="K159" s="20" t="s">
        <v>67</v>
      </c>
      <c r="L159" s="20" t="s">
        <v>69</v>
      </c>
      <c r="M159" s="20" t="s">
        <v>539</v>
      </c>
      <c r="N159" s="4" t="s">
        <v>144</v>
      </c>
      <c r="O159" s="20" t="s">
        <v>542</v>
      </c>
      <c r="P159" s="20" t="s">
        <v>68</v>
      </c>
      <c r="Q159" s="23" t="s">
        <v>545</v>
      </c>
      <c r="R159" s="20" t="s">
        <v>46</v>
      </c>
      <c r="S159" s="20" t="s">
        <v>155</v>
      </c>
      <c r="T159" s="20" t="s">
        <v>43</v>
      </c>
      <c r="U159" s="20"/>
      <c r="V159" s="23">
        <v>102338869198</v>
      </c>
      <c r="W159" s="20"/>
      <c r="X159" s="20" t="s">
        <v>1348</v>
      </c>
      <c r="Y159" s="23"/>
      <c r="Z159" s="38" t="s">
        <v>1525</v>
      </c>
      <c r="AA159" s="20">
        <v>8390085148</v>
      </c>
      <c r="AB159" s="20" t="s">
        <v>1319</v>
      </c>
      <c r="AC159" s="20"/>
      <c r="AD159" s="20" t="s">
        <v>1288</v>
      </c>
      <c r="AE159" s="20">
        <v>8390085148</v>
      </c>
      <c r="AF159" s="20"/>
      <c r="AG159" s="5" t="s">
        <v>1302</v>
      </c>
      <c r="AH159" s="5" t="s">
        <v>723</v>
      </c>
      <c r="AI159" s="5" t="s">
        <v>799</v>
      </c>
      <c r="AJ159" s="20" t="s">
        <v>786</v>
      </c>
      <c r="AK159" s="20">
        <v>424308</v>
      </c>
      <c r="AL159" s="5" t="s">
        <v>1302</v>
      </c>
      <c r="AM159" s="5" t="s">
        <v>723</v>
      </c>
      <c r="AN159" s="5" t="s">
        <v>799</v>
      </c>
      <c r="AO159" s="20" t="s">
        <v>786</v>
      </c>
      <c r="AP159" s="20">
        <v>424308</v>
      </c>
      <c r="AQ159" s="28" t="s">
        <v>840</v>
      </c>
      <c r="AR159" s="20">
        <v>4194076670</v>
      </c>
      <c r="AS159" s="20" t="s">
        <v>905</v>
      </c>
      <c r="AT159" s="22" t="s">
        <v>1304</v>
      </c>
    </row>
    <row r="160" spans="1:46" x14ac:dyDescent="0.25">
      <c r="A160" s="20">
        <v>155</v>
      </c>
      <c r="B160" s="21" t="s">
        <v>1096</v>
      </c>
      <c r="C160" s="20" t="s">
        <v>54</v>
      </c>
      <c r="D160" s="22" t="s">
        <v>1145</v>
      </c>
      <c r="E160" s="22" t="s">
        <v>1157</v>
      </c>
      <c r="F160" s="22" t="s">
        <v>493</v>
      </c>
      <c r="G160" s="20" t="s">
        <v>65</v>
      </c>
      <c r="H160" s="20"/>
      <c r="I160" s="20" t="s">
        <v>1300</v>
      </c>
      <c r="J160" s="20" t="s">
        <v>1301</v>
      </c>
      <c r="K160" s="20" t="s">
        <v>67</v>
      </c>
      <c r="L160" s="20" t="s">
        <v>69</v>
      </c>
      <c r="M160" s="20" t="s">
        <v>539</v>
      </c>
      <c r="N160" s="4" t="s">
        <v>144</v>
      </c>
      <c r="O160" s="20" t="s">
        <v>542</v>
      </c>
      <c r="P160" s="20" t="s">
        <v>68</v>
      </c>
      <c r="Q160" s="23" t="s">
        <v>545</v>
      </c>
      <c r="R160" s="20" t="s">
        <v>46</v>
      </c>
      <c r="S160" s="20" t="s">
        <v>155</v>
      </c>
      <c r="T160" s="20" t="s">
        <v>43</v>
      </c>
      <c r="U160" s="20"/>
      <c r="V160" s="23">
        <v>101518727797</v>
      </c>
      <c r="W160" s="20"/>
      <c r="X160" s="20" t="s">
        <v>1447</v>
      </c>
      <c r="Y160" s="23"/>
      <c r="Z160" s="20">
        <v>793739199792</v>
      </c>
      <c r="AA160" s="20">
        <v>7030431012</v>
      </c>
      <c r="AB160" s="20" t="s">
        <v>1319</v>
      </c>
      <c r="AC160" s="20"/>
      <c r="AD160" s="20" t="s">
        <v>1157</v>
      </c>
      <c r="AE160" s="20">
        <v>7030431012</v>
      </c>
      <c r="AF160" s="20"/>
      <c r="AG160" s="5" t="s">
        <v>1302</v>
      </c>
      <c r="AH160" s="5" t="s">
        <v>723</v>
      </c>
      <c r="AI160" s="5" t="s">
        <v>799</v>
      </c>
      <c r="AJ160" s="20" t="s">
        <v>786</v>
      </c>
      <c r="AK160" s="20">
        <v>424308</v>
      </c>
      <c r="AL160" s="5" t="s">
        <v>1302</v>
      </c>
      <c r="AM160" s="5" t="s">
        <v>723</v>
      </c>
      <c r="AN160" s="5" t="s">
        <v>799</v>
      </c>
      <c r="AO160" s="20" t="s">
        <v>786</v>
      </c>
      <c r="AP160" s="20">
        <v>424308</v>
      </c>
      <c r="AQ160" s="20" t="s">
        <v>842</v>
      </c>
      <c r="AR160" s="20">
        <v>345902010077882</v>
      </c>
      <c r="AS160" s="20" t="s">
        <v>900</v>
      </c>
      <c r="AT160" s="61" t="s">
        <v>1127</v>
      </c>
    </row>
    <row r="161" spans="1:46" x14ac:dyDescent="0.25">
      <c r="A161" s="20">
        <v>156</v>
      </c>
      <c r="B161" s="21" t="s">
        <v>1174</v>
      </c>
      <c r="C161" s="20" t="s">
        <v>50</v>
      </c>
      <c r="D161" s="22" t="s">
        <v>389</v>
      </c>
      <c r="E161" s="22" t="s">
        <v>377</v>
      </c>
      <c r="F161" s="22" t="s">
        <v>493</v>
      </c>
      <c r="G161" s="20" t="s">
        <v>64</v>
      </c>
      <c r="H161" s="20"/>
      <c r="I161" s="31">
        <v>38269</v>
      </c>
      <c r="J161" s="20" t="s">
        <v>1303</v>
      </c>
      <c r="K161" s="20" t="s">
        <v>67</v>
      </c>
      <c r="L161" s="20" t="s">
        <v>69</v>
      </c>
      <c r="M161" s="20" t="s">
        <v>539</v>
      </c>
      <c r="N161" s="4" t="s">
        <v>144</v>
      </c>
      <c r="O161" s="20" t="s">
        <v>542</v>
      </c>
      <c r="P161" s="20" t="s">
        <v>68</v>
      </c>
      <c r="Q161" s="23" t="s">
        <v>545</v>
      </c>
      <c r="R161" s="20" t="s">
        <v>46</v>
      </c>
      <c r="S161" s="20" t="s">
        <v>155</v>
      </c>
      <c r="T161" s="20" t="s">
        <v>43</v>
      </c>
      <c r="U161" s="20"/>
      <c r="V161" s="23">
        <v>102339534622</v>
      </c>
      <c r="W161" s="20"/>
      <c r="X161" s="20" t="s">
        <v>1448</v>
      </c>
      <c r="Y161" s="23"/>
      <c r="Z161" s="20">
        <v>956644027809</v>
      </c>
      <c r="AA161" s="20">
        <v>9307833982</v>
      </c>
      <c r="AB161" s="20" t="s">
        <v>1319</v>
      </c>
      <c r="AC161" s="20"/>
      <c r="AD161" s="20" t="s">
        <v>377</v>
      </c>
      <c r="AE161" s="20">
        <v>9307833982</v>
      </c>
      <c r="AF161" s="20"/>
      <c r="AG161" s="5" t="s">
        <v>1302</v>
      </c>
      <c r="AH161" s="5" t="s">
        <v>723</v>
      </c>
      <c r="AI161" s="5" t="s">
        <v>799</v>
      </c>
      <c r="AJ161" s="20" t="s">
        <v>786</v>
      </c>
      <c r="AK161" s="20">
        <v>424308</v>
      </c>
      <c r="AL161" s="5" t="s">
        <v>1302</v>
      </c>
      <c r="AM161" s="5" t="s">
        <v>723</v>
      </c>
      <c r="AN161" s="5" t="s">
        <v>799</v>
      </c>
      <c r="AO161" s="20" t="s">
        <v>786</v>
      </c>
      <c r="AP161" s="20">
        <v>424308</v>
      </c>
      <c r="AQ161" s="28" t="s">
        <v>839</v>
      </c>
      <c r="AR161" s="20">
        <v>80017129703</v>
      </c>
      <c r="AS161" s="20" t="s">
        <v>1449</v>
      </c>
      <c r="AT161" s="22" t="s">
        <v>1286</v>
      </c>
    </row>
    <row r="162" spans="1:46" x14ac:dyDescent="0.25">
      <c r="A162" s="20">
        <v>157</v>
      </c>
      <c r="B162" s="21" t="s">
        <v>1175</v>
      </c>
      <c r="C162" s="20" t="s">
        <v>50</v>
      </c>
      <c r="D162" s="22" t="s">
        <v>458</v>
      </c>
      <c r="E162" s="22" t="s">
        <v>1289</v>
      </c>
      <c r="F162" s="22" t="s">
        <v>525</v>
      </c>
      <c r="G162" s="20" t="s">
        <v>64</v>
      </c>
      <c r="H162" s="20"/>
      <c r="I162" s="20" t="s">
        <v>1333</v>
      </c>
      <c r="J162" s="20" t="s">
        <v>1303</v>
      </c>
      <c r="K162" s="20" t="s">
        <v>67</v>
      </c>
      <c r="L162" s="20" t="s">
        <v>69</v>
      </c>
      <c r="M162" s="20" t="s">
        <v>539</v>
      </c>
      <c r="N162" s="4" t="s">
        <v>144</v>
      </c>
      <c r="O162" s="20" t="s">
        <v>542</v>
      </c>
      <c r="P162" s="20" t="s">
        <v>68</v>
      </c>
      <c r="Q162" s="23" t="s">
        <v>545</v>
      </c>
      <c r="R162" s="20" t="s">
        <v>46</v>
      </c>
      <c r="S162" s="20" t="s">
        <v>155</v>
      </c>
      <c r="T162" s="20" t="s">
        <v>43</v>
      </c>
      <c r="U162" s="20"/>
      <c r="V162" s="23"/>
      <c r="W162" s="20">
        <v>2505212077</v>
      </c>
      <c r="X162" s="20" t="s">
        <v>1450</v>
      </c>
      <c r="Y162" s="23"/>
      <c r="Z162" s="20">
        <v>468869947253</v>
      </c>
      <c r="AA162" s="20">
        <v>8208528990</v>
      </c>
      <c r="AB162" s="20" t="s">
        <v>1185</v>
      </c>
      <c r="AC162" s="20"/>
      <c r="AD162" s="20" t="s">
        <v>1289</v>
      </c>
      <c r="AE162" s="20">
        <v>8209528990</v>
      </c>
      <c r="AF162" s="20"/>
      <c r="AG162" s="36" t="s">
        <v>950</v>
      </c>
      <c r="AH162" s="20" t="s">
        <v>758</v>
      </c>
      <c r="AI162" s="5" t="s">
        <v>799</v>
      </c>
      <c r="AJ162" s="20" t="s">
        <v>787</v>
      </c>
      <c r="AK162" s="20">
        <v>424305</v>
      </c>
      <c r="AL162" s="36" t="s">
        <v>950</v>
      </c>
      <c r="AM162" s="20" t="s">
        <v>758</v>
      </c>
      <c r="AN162" s="5" t="s">
        <v>799</v>
      </c>
      <c r="AO162" s="20" t="s">
        <v>787</v>
      </c>
      <c r="AP162" s="20">
        <v>424305</v>
      </c>
      <c r="AQ162" s="20" t="s">
        <v>1341</v>
      </c>
      <c r="AR162" s="20">
        <v>3120463438</v>
      </c>
      <c r="AS162" s="28" t="s">
        <v>897</v>
      </c>
      <c r="AT162" s="22" t="s">
        <v>1320</v>
      </c>
    </row>
    <row r="163" spans="1:46" x14ac:dyDescent="0.25">
      <c r="A163" s="20">
        <v>158</v>
      </c>
      <c r="B163" s="21" t="s">
        <v>1176</v>
      </c>
      <c r="C163" s="20" t="s">
        <v>50</v>
      </c>
      <c r="D163" s="22" t="s">
        <v>398</v>
      </c>
      <c r="E163" s="22" t="s">
        <v>1290</v>
      </c>
      <c r="F163" s="22" t="s">
        <v>511</v>
      </c>
      <c r="G163" s="20" t="s">
        <v>64</v>
      </c>
      <c r="H163" s="20"/>
      <c r="I163" s="31">
        <v>37622</v>
      </c>
      <c r="J163" s="20" t="s">
        <v>1303</v>
      </c>
      <c r="K163" s="20" t="s">
        <v>67</v>
      </c>
      <c r="L163" s="20" t="s">
        <v>69</v>
      </c>
      <c r="M163" s="20" t="s">
        <v>539</v>
      </c>
      <c r="N163" s="4" t="s">
        <v>144</v>
      </c>
      <c r="O163" s="20" t="s">
        <v>542</v>
      </c>
      <c r="P163" s="20" t="s">
        <v>68</v>
      </c>
      <c r="Q163" s="23" t="s">
        <v>545</v>
      </c>
      <c r="R163" s="20" t="s">
        <v>46</v>
      </c>
      <c r="S163" s="20" t="s">
        <v>155</v>
      </c>
      <c r="T163" s="20" t="s">
        <v>43</v>
      </c>
      <c r="U163" s="20"/>
      <c r="V163" s="23">
        <v>102338940485</v>
      </c>
      <c r="W163" s="20">
        <v>2505214051</v>
      </c>
      <c r="X163" s="20" t="s">
        <v>1349</v>
      </c>
      <c r="Y163" s="23"/>
      <c r="Z163" s="38" t="s">
        <v>1505</v>
      </c>
      <c r="AA163" s="20">
        <v>8421021914</v>
      </c>
      <c r="AB163" s="20" t="s">
        <v>1319</v>
      </c>
      <c r="AC163" s="20"/>
      <c r="AD163" s="20" t="s">
        <v>1290</v>
      </c>
      <c r="AE163" s="20">
        <v>8421021914</v>
      </c>
      <c r="AF163" s="20"/>
      <c r="AG163" s="25" t="s">
        <v>712</v>
      </c>
      <c r="AH163" s="20" t="s">
        <v>768</v>
      </c>
      <c r="AI163" s="5" t="s">
        <v>799</v>
      </c>
      <c r="AJ163" s="20" t="s">
        <v>784</v>
      </c>
      <c r="AK163" s="20">
        <v>424305</v>
      </c>
      <c r="AL163" s="25" t="s">
        <v>712</v>
      </c>
      <c r="AM163" s="20" t="s">
        <v>768</v>
      </c>
      <c r="AN163" s="5" t="s">
        <v>799</v>
      </c>
      <c r="AO163" s="20" t="s">
        <v>784</v>
      </c>
      <c r="AP163" s="20">
        <v>424305</v>
      </c>
      <c r="AQ163" s="28" t="s">
        <v>840</v>
      </c>
      <c r="AR163" s="20">
        <v>43324549410</v>
      </c>
      <c r="AS163" s="28" t="s">
        <v>895</v>
      </c>
      <c r="AT163" s="22" t="s">
        <v>1321</v>
      </c>
    </row>
    <row r="164" spans="1:46" x14ac:dyDescent="0.25">
      <c r="A164" s="20">
        <v>159</v>
      </c>
      <c r="B164" s="21" t="s">
        <v>1177</v>
      </c>
      <c r="C164" s="20" t="s">
        <v>50</v>
      </c>
      <c r="D164" s="22" t="s">
        <v>1142</v>
      </c>
      <c r="E164" s="22" t="s">
        <v>446</v>
      </c>
      <c r="F164" s="22" t="s">
        <v>531</v>
      </c>
      <c r="G164" s="20" t="s">
        <v>64</v>
      </c>
      <c r="H164" s="20"/>
      <c r="I164" s="31">
        <v>31629</v>
      </c>
      <c r="J164" s="20" t="s">
        <v>1303</v>
      </c>
      <c r="K164" s="20" t="s">
        <v>67</v>
      </c>
      <c r="L164" s="20" t="s">
        <v>69</v>
      </c>
      <c r="M164" s="20" t="s">
        <v>539</v>
      </c>
      <c r="N164" s="4" t="s">
        <v>144</v>
      </c>
      <c r="O164" s="20" t="s">
        <v>542</v>
      </c>
      <c r="P164" s="20" t="s">
        <v>68</v>
      </c>
      <c r="Q164" s="23" t="s">
        <v>545</v>
      </c>
      <c r="R164" s="20" t="s">
        <v>46</v>
      </c>
      <c r="S164" s="20" t="s">
        <v>155</v>
      </c>
      <c r="T164" s="20" t="s">
        <v>43</v>
      </c>
      <c r="U164" s="20"/>
      <c r="V164" s="23">
        <v>102349092635</v>
      </c>
      <c r="W164" s="20">
        <v>2505212109</v>
      </c>
      <c r="X164" s="20" t="s">
        <v>1451</v>
      </c>
      <c r="Y164" s="23"/>
      <c r="Z164" s="38" t="s">
        <v>1506</v>
      </c>
      <c r="AA164" s="20">
        <v>7588330218</v>
      </c>
      <c r="AB164" s="20" t="s">
        <v>1185</v>
      </c>
      <c r="AC164" s="20"/>
      <c r="AD164" s="20" t="s">
        <v>446</v>
      </c>
      <c r="AE164" s="20">
        <v>7588330218</v>
      </c>
      <c r="AF164" s="20"/>
      <c r="AG164" s="25" t="s">
        <v>712</v>
      </c>
      <c r="AH164" s="20" t="s">
        <v>768</v>
      </c>
      <c r="AI164" s="5" t="s">
        <v>799</v>
      </c>
      <c r="AJ164" s="20" t="s">
        <v>784</v>
      </c>
      <c r="AK164" s="20">
        <v>424305</v>
      </c>
      <c r="AL164" s="25" t="s">
        <v>712</v>
      </c>
      <c r="AM164" s="20" t="s">
        <v>768</v>
      </c>
      <c r="AN164" s="5" t="s">
        <v>799</v>
      </c>
      <c r="AO164" s="20" t="s">
        <v>784</v>
      </c>
      <c r="AP164" s="20">
        <v>424305</v>
      </c>
      <c r="AQ164" s="28" t="s">
        <v>840</v>
      </c>
      <c r="AR164" s="20">
        <v>33147957457</v>
      </c>
      <c r="AS164" s="28" t="s">
        <v>895</v>
      </c>
      <c r="AT164" s="22" t="s">
        <v>1322</v>
      </c>
    </row>
    <row r="165" spans="1:46" x14ac:dyDescent="0.25">
      <c r="A165" s="20">
        <v>160</v>
      </c>
      <c r="B165" s="21" t="s">
        <v>1178</v>
      </c>
      <c r="C165" s="20" t="s">
        <v>50</v>
      </c>
      <c r="D165" s="22" t="s">
        <v>1291</v>
      </c>
      <c r="E165" s="22" t="s">
        <v>1292</v>
      </c>
      <c r="F165" s="22" t="s">
        <v>502</v>
      </c>
      <c r="G165" s="20" t="s">
        <v>64</v>
      </c>
      <c r="H165" s="20"/>
      <c r="I165" s="31">
        <v>33366</v>
      </c>
      <c r="J165" s="20" t="s">
        <v>1303</v>
      </c>
      <c r="K165" s="20" t="s">
        <v>67</v>
      </c>
      <c r="L165" s="20" t="s">
        <v>69</v>
      </c>
      <c r="M165" s="20" t="s">
        <v>539</v>
      </c>
      <c r="N165" s="4" t="s">
        <v>144</v>
      </c>
      <c r="O165" s="20" t="s">
        <v>542</v>
      </c>
      <c r="P165" s="20" t="s">
        <v>68</v>
      </c>
      <c r="Q165" s="23" t="s">
        <v>545</v>
      </c>
      <c r="R165" s="20" t="s">
        <v>46</v>
      </c>
      <c r="S165" s="20" t="s">
        <v>155</v>
      </c>
      <c r="T165" s="20" t="s">
        <v>43</v>
      </c>
      <c r="U165" s="20"/>
      <c r="V165" s="23"/>
      <c r="W165" s="20"/>
      <c r="X165" s="20"/>
      <c r="Y165" s="23"/>
      <c r="Z165" s="20">
        <v>588265070172</v>
      </c>
      <c r="AA165" s="20">
        <v>9637121706</v>
      </c>
      <c r="AB165" s="20" t="s">
        <v>1185</v>
      </c>
      <c r="AC165" s="20"/>
      <c r="AD165" s="20" t="s">
        <v>1292</v>
      </c>
      <c r="AE165" s="20">
        <v>9637121706</v>
      </c>
      <c r="AF165" s="20"/>
      <c r="AG165" s="5" t="s">
        <v>1425</v>
      </c>
      <c r="AH165" s="5" t="s">
        <v>1425</v>
      </c>
      <c r="AI165" s="5" t="s">
        <v>799</v>
      </c>
      <c r="AJ165" s="20" t="s">
        <v>779</v>
      </c>
      <c r="AK165" s="20">
        <v>425412</v>
      </c>
      <c r="AL165" s="5" t="s">
        <v>1425</v>
      </c>
      <c r="AM165" s="5" t="s">
        <v>1425</v>
      </c>
      <c r="AN165" s="5" t="s">
        <v>799</v>
      </c>
      <c r="AO165" s="20" t="s">
        <v>779</v>
      </c>
      <c r="AP165" s="20">
        <v>425412</v>
      </c>
      <c r="AQ165" s="20" t="s">
        <v>1341</v>
      </c>
      <c r="AR165" s="20">
        <v>5940592411</v>
      </c>
      <c r="AS165" s="20" t="s">
        <v>902</v>
      </c>
      <c r="AT165" s="22" t="s">
        <v>1323</v>
      </c>
    </row>
    <row r="166" spans="1:46" ht="14.25" customHeight="1" x14ac:dyDescent="0.25">
      <c r="A166" s="20">
        <v>161</v>
      </c>
      <c r="B166" s="21" t="s">
        <v>1179</v>
      </c>
      <c r="C166" s="20" t="s">
        <v>50</v>
      </c>
      <c r="D166" s="22" t="s">
        <v>450</v>
      </c>
      <c r="E166" s="22" t="s">
        <v>1293</v>
      </c>
      <c r="F166" s="22" t="s">
        <v>500</v>
      </c>
      <c r="G166" s="20" t="s">
        <v>64</v>
      </c>
      <c r="H166" s="20"/>
      <c r="I166" s="31">
        <v>35344</v>
      </c>
      <c r="J166" s="20" t="s">
        <v>1303</v>
      </c>
      <c r="K166" s="20" t="s">
        <v>67</v>
      </c>
      <c r="L166" s="20" t="s">
        <v>69</v>
      </c>
      <c r="M166" s="20" t="s">
        <v>539</v>
      </c>
      <c r="N166" s="4" t="s">
        <v>144</v>
      </c>
      <c r="O166" s="20" t="s">
        <v>542</v>
      </c>
      <c r="P166" s="20" t="s">
        <v>68</v>
      </c>
      <c r="Q166" s="23" t="s">
        <v>545</v>
      </c>
      <c r="R166" s="20" t="s">
        <v>46</v>
      </c>
      <c r="S166" s="20" t="s">
        <v>155</v>
      </c>
      <c r="T166" s="20" t="s">
        <v>43</v>
      </c>
      <c r="U166" s="20"/>
      <c r="V166" s="23"/>
      <c r="W166" s="20">
        <v>2505214073</v>
      </c>
      <c r="X166" s="20" t="s">
        <v>1452</v>
      </c>
      <c r="Y166" s="23"/>
      <c r="Z166" s="20">
        <v>99681260881</v>
      </c>
      <c r="AA166" s="20">
        <v>8329964272</v>
      </c>
      <c r="AB166" s="20" t="s">
        <v>1185</v>
      </c>
      <c r="AC166" s="20"/>
      <c r="AD166" s="20" t="s">
        <v>1293</v>
      </c>
      <c r="AE166" s="20">
        <v>8329964272</v>
      </c>
      <c r="AF166" s="20"/>
      <c r="AG166" s="36" t="s">
        <v>950</v>
      </c>
      <c r="AH166" s="20" t="s">
        <v>758</v>
      </c>
      <c r="AI166" s="5" t="s">
        <v>799</v>
      </c>
      <c r="AJ166" s="20" t="s">
        <v>787</v>
      </c>
      <c r="AK166" s="20">
        <v>424305</v>
      </c>
      <c r="AL166" s="36" t="s">
        <v>950</v>
      </c>
      <c r="AM166" s="20" t="s">
        <v>758</v>
      </c>
      <c r="AN166" s="5" t="s">
        <v>799</v>
      </c>
      <c r="AO166" s="20" t="s">
        <v>787</v>
      </c>
      <c r="AP166" s="20">
        <v>424305</v>
      </c>
      <c r="AQ166" s="20" t="s">
        <v>1341</v>
      </c>
      <c r="AR166" s="20">
        <v>5291976527</v>
      </c>
      <c r="AS166" s="20" t="s">
        <v>897</v>
      </c>
      <c r="AT166" s="22" t="s">
        <v>1324</v>
      </c>
    </row>
    <row r="167" spans="1:46" x14ac:dyDescent="0.25">
      <c r="A167" s="20">
        <v>162</v>
      </c>
      <c r="B167" s="21" t="s">
        <v>1180</v>
      </c>
      <c r="C167" s="20" t="s">
        <v>50</v>
      </c>
      <c r="D167" s="22" t="s">
        <v>1294</v>
      </c>
      <c r="E167" s="22" t="s">
        <v>440</v>
      </c>
      <c r="F167" s="22" t="s">
        <v>1295</v>
      </c>
      <c r="G167" s="20" t="s">
        <v>64</v>
      </c>
      <c r="H167" s="20"/>
      <c r="I167" s="31">
        <v>35593</v>
      </c>
      <c r="J167" s="20" t="s">
        <v>1303</v>
      </c>
      <c r="K167" s="20" t="s">
        <v>67</v>
      </c>
      <c r="L167" s="20" t="s">
        <v>69</v>
      </c>
      <c r="M167" s="20" t="s">
        <v>539</v>
      </c>
      <c r="N167" s="4" t="s">
        <v>144</v>
      </c>
      <c r="O167" s="20" t="s">
        <v>542</v>
      </c>
      <c r="P167" s="20" t="s">
        <v>68</v>
      </c>
      <c r="Q167" s="23" t="s">
        <v>545</v>
      </c>
      <c r="R167" s="20" t="s">
        <v>46</v>
      </c>
      <c r="S167" s="20" t="s">
        <v>155</v>
      </c>
      <c r="T167" s="20" t="s">
        <v>43</v>
      </c>
      <c r="U167" s="20"/>
      <c r="V167" s="23">
        <v>101944633978</v>
      </c>
      <c r="W167" s="20">
        <v>2504559059</v>
      </c>
      <c r="X167" s="20" t="s">
        <v>1335</v>
      </c>
      <c r="Y167" s="23"/>
      <c r="Z167" s="38" t="s">
        <v>1510</v>
      </c>
      <c r="AA167" s="20">
        <v>9860521105</v>
      </c>
      <c r="AB167" s="20" t="s">
        <v>1319</v>
      </c>
      <c r="AC167" s="20"/>
      <c r="AD167" s="20" t="s">
        <v>440</v>
      </c>
      <c r="AE167" s="20">
        <v>9860521105</v>
      </c>
      <c r="AF167" s="20"/>
      <c r="AG167" s="20" t="s">
        <v>1336</v>
      </c>
      <c r="AH167" s="5" t="s">
        <v>1337</v>
      </c>
      <c r="AI167" s="5" t="s">
        <v>799</v>
      </c>
      <c r="AJ167" s="20" t="s">
        <v>781</v>
      </c>
      <c r="AK167" s="20">
        <v>424304</v>
      </c>
      <c r="AL167" s="20" t="s">
        <v>1336</v>
      </c>
      <c r="AM167" s="5" t="s">
        <v>1337</v>
      </c>
      <c r="AN167" s="5" t="s">
        <v>799</v>
      </c>
      <c r="AO167" s="20" t="s">
        <v>781</v>
      </c>
      <c r="AP167" s="20">
        <v>424304</v>
      </c>
      <c r="AQ167" s="20" t="s">
        <v>1338</v>
      </c>
      <c r="AR167" s="20">
        <v>34429091569</v>
      </c>
      <c r="AS167" s="20" t="s">
        <v>898</v>
      </c>
      <c r="AT167" s="22" t="s">
        <v>1325</v>
      </c>
    </row>
    <row r="168" spans="1:46" x14ac:dyDescent="0.25">
      <c r="A168" s="20">
        <v>163</v>
      </c>
      <c r="B168" s="21" t="s">
        <v>1181</v>
      </c>
      <c r="C168" s="20" t="s">
        <v>50</v>
      </c>
      <c r="D168" s="22" t="s">
        <v>1296</v>
      </c>
      <c r="E168" s="22" t="s">
        <v>428</v>
      </c>
      <c r="F168" s="22" t="s">
        <v>493</v>
      </c>
      <c r="G168" s="20" t="s">
        <v>64</v>
      </c>
      <c r="H168" s="20"/>
      <c r="I168" s="31">
        <v>32297</v>
      </c>
      <c r="J168" s="20" t="s">
        <v>1303</v>
      </c>
      <c r="K168" s="20" t="s">
        <v>67</v>
      </c>
      <c r="L168" s="20" t="s">
        <v>69</v>
      </c>
      <c r="M168" s="20" t="s">
        <v>539</v>
      </c>
      <c r="N168" s="4" t="s">
        <v>144</v>
      </c>
      <c r="O168" s="20" t="s">
        <v>542</v>
      </c>
      <c r="P168" s="20" t="s">
        <v>68</v>
      </c>
      <c r="Q168" s="23" t="s">
        <v>545</v>
      </c>
      <c r="R168" s="20" t="s">
        <v>46</v>
      </c>
      <c r="S168" s="20" t="s">
        <v>155</v>
      </c>
      <c r="T168" s="20" t="s">
        <v>43</v>
      </c>
      <c r="U168" s="20"/>
      <c r="V168" s="23">
        <v>102020007161</v>
      </c>
      <c r="W168" s="20" t="s">
        <v>1503</v>
      </c>
      <c r="X168" s="20" t="s">
        <v>1345</v>
      </c>
      <c r="Y168" s="23"/>
      <c r="Z168" s="38" t="s">
        <v>1511</v>
      </c>
      <c r="AA168" s="20">
        <v>9503303121</v>
      </c>
      <c r="AB168" s="20" t="s">
        <v>1319</v>
      </c>
      <c r="AC168" s="20"/>
      <c r="AD168" s="20" t="s">
        <v>428</v>
      </c>
      <c r="AE168" s="20">
        <v>9503303121</v>
      </c>
      <c r="AF168" s="20"/>
      <c r="AG168" s="5" t="s">
        <v>1346</v>
      </c>
      <c r="AH168" s="5" t="s">
        <v>1347</v>
      </c>
      <c r="AI168" s="5" t="s">
        <v>799</v>
      </c>
      <c r="AJ168" s="20" t="s">
        <v>787</v>
      </c>
      <c r="AK168" s="20">
        <v>424310</v>
      </c>
      <c r="AL168" s="5" t="s">
        <v>1346</v>
      </c>
      <c r="AM168" s="5" t="s">
        <v>1347</v>
      </c>
      <c r="AN168" s="5" t="s">
        <v>799</v>
      </c>
      <c r="AO168" s="20" t="s">
        <v>787</v>
      </c>
      <c r="AP168" s="20">
        <v>424310</v>
      </c>
      <c r="AQ168" s="28" t="s">
        <v>840</v>
      </c>
      <c r="AR168" s="20">
        <v>32030951204</v>
      </c>
      <c r="AS168" s="20" t="s">
        <v>1249</v>
      </c>
      <c r="AT168" s="22" t="s">
        <v>1326</v>
      </c>
    </row>
    <row r="169" spans="1:46" ht="14.25" customHeight="1" x14ac:dyDescent="0.25">
      <c r="A169" s="20">
        <v>164</v>
      </c>
      <c r="B169" s="21" t="s">
        <v>1182</v>
      </c>
      <c r="C169" s="20" t="s">
        <v>50</v>
      </c>
      <c r="D169" s="22" t="s">
        <v>380</v>
      </c>
      <c r="E169" s="22" t="s">
        <v>455</v>
      </c>
      <c r="F169" s="22" t="s">
        <v>1297</v>
      </c>
      <c r="G169" s="20" t="s">
        <v>64</v>
      </c>
      <c r="H169" s="20"/>
      <c r="I169" s="20" t="s">
        <v>1334</v>
      </c>
      <c r="J169" s="20" t="s">
        <v>1303</v>
      </c>
      <c r="K169" s="20" t="s">
        <v>67</v>
      </c>
      <c r="L169" s="20" t="s">
        <v>69</v>
      </c>
      <c r="M169" s="20" t="s">
        <v>1331</v>
      </c>
      <c r="N169" s="4" t="s">
        <v>144</v>
      </c>
      <c r="O169" s="20" t="s">
        <v>542</v>
      </c>
      <c r="P169" s="20" t="s">
        <v>68</v>
      </c>
      <c r="Q169" s="23" t="s">
        <v>545</v>
      </c>
      <c r="R169" s="20" t="s">
        <v>46</v>
      </c>
      <c r="S169" s="20" t="s">
        <v>155</v>
      </c>
      <c r="T169" s="20" t="s">
        <v>43</v>
      </c>
      <c r="U169" s="20"/>
      <c r="V169" s="23">
        <v>101221493700</v>
      </c>
      <c r="W169" s="23">
        <v>2505214360</v>
      </c>
      <c r="X169" s="20" t="s">
        <v>1343</v>
      </c>
      <c r="Z169" s="38" t="s">
        <v>1504</v>
      </c>
      <c r="AA169" s="20">
        <v>9561466031</v>
      </c>
      <c r="AB169" s="20" t="s">
        <v>1185</v>
      </c>
      <c r="AC169" s="20"/>
      <c r="AD169" s="20" t="s">
        <v>455</v>
      </c>
      <c r="AE169" s="20">
        <v>9561466031</v>
      </c>
      <c r="AF169" s="20"/>
      <c r="AG169" s="36" t="s">
        <v>1188</v>
      </c>
      <c r="AH169" s="20" t="s">
        <v>758</v>
      </c>
      <c r="AI169" s="5" t="s">
        <v>799</v>
      </c>
      <c r="AJ169" s="20" t="s">
        <v>787</v>
      </c>
      <c r="AK169" s="20">
        <v>424305</v>
      </c>
      <c r="AL169" s="36" t="s">
        <v>1188</v>
      </c>
      <c r="AM169" s="20" t="s">
        <v>758</v>
      </c>
      <c r="AN169" s="5" t="s">
        <v>799</v>
      </c>
      <c r="AO169" s="20" t="s">
        <v>787</v>
      </c>
      <c r="AP169" s="20">
        <v>424305</v>
      </c>
      <c r="AQ169" s="28" t="s">
        <v>840</v>
      </c>
      <c r="AR169" s="20">
        <v>33316911660</v>
      </c>
      <c r="AS169" s="20" t="s">
        <v>905</v>
      </c>
      <c r="AT169" s="22" t="s">
        <v>1327</v>
      </c>
    </row>
    <row r="170" spans="1:46" x14ac:dyDescent="0.25">
      <c r="A170" s="20">
        <v>165</v>
      </c>
      <c r="B170" s="21" t="s">
        <v>1183</v>
      </c>
      <c r="C170" s="20" t="s">
        <v>50</v>
      </c>
      <c r="D170" s="22" t="s">
        <v>1298</v>
      </c>
      <c r="E170" s="22" t="s">
        <v>1299</v>
      </c>
      <c r="F170" s="22" t="s">
        <v>512</v>
      </c>
      <c r="G170" s="20" t="s">
        <v>64</v>
      </c>
      <c r="H170" s="20"/>
      <c r="I170" s="31">
        <v>37108</v>
      </c>
      <c r="J170" s="20" t="s">
        <v>1303</v>
      </c>
      <c r="K170" s="20" t="s">
        <v>67</v>
      </c>
      <c r="L170" s="20" t="s">
        <v>69</v>
      </c>
      <c r="M170" s="20" t="s">
        <v>1331</v>
      </c>
      <c r="N170" s="4" t="s">
        <v>144</v>
      </c>
      <c r="O170" s="20" t="s">
        <v>542</v>
      </c>
      <c r="P170" s="20" t="s">
        <v>68</v>
      </c>
      <c r="Q170" s="23" t="s">
        <v>545</v>
      </c>
      <c r="R170" s="20" t="s">
        <v>46</v>
      </c>
      <c r="S170" s="20" t="s">
        <v>155</v>
      </c>
      <c r="T170" s="20" t="s">
        <v>43</v>
      </c>
      <c r="U170" s="20"/>
      <c r="V170" s="23">
        <v>101775803097</v>
      </c>
      <c r="W170" s="20"/>
      <c r="X170" s="20" t="s">
        <v>1344</v>
      </c>
      <c r="Y170" s="23"/>
      <c r="Z170" s="38" t="s">
        <v>1509</v>
      </c>
      <c r="AA170" s="20">
        <v>7028682691</v>
      </c>
      <c r="AB170" s="20" t="s">
        <v>1319</v>
      </c>
      <c r="AC170" s="20"/>
      <c r="AD170" s="20" t="s">
        <v>1299</v>
      </c>
      <c r="AE170" s="20">
        <v>7028682691</v>
      </c>
      <c r="AF170" s="20"/>
      <c r="AG170" s="5" t="s">
        <v>1340</v>
      </c>
      <c r="AH170" s="5" t="s">
        <v>1340</v>
      </c>
      <c r="AI170" s="5" t="s">
        <v>799</v>
      </c>
      <c r="AJ170" s="20" t="s">
        <v>787</v>
      </c>
      <c r="AK170" s="20">
        <v>425427</v>
      </c>
      <c r="AL170" s="5" t="s">
        <v>1340</v>
      </c>
      <c r="AM170" s="5" t="s">
        <v>1340</v>
      </c>
      <c r="AN170" s="5" t="s">
        <v>799</v>
      </c>
      <c r="AO170" s="20" t="s">
        <v>787</v>
      </c>
      <c r="AP170" s="20">
        <v>425427</v>
      </c>
      <c r="AQ170" s="20" t="s">
        <v>1341</v>
      </c>
      <c r="AR170" s="20">
        <v>3851076694</v>
      </c>
      <c r="AS170" s="20" t="s">
        <v>1342</v>
      </c>
      <c r="AT170" s="22" t="s">
        <v>1328</v>
      </c>
    </row>
    <row r="171" spans="1:46" x14ac:dyDescent="0.25">
      <c r="A171" s="20">
        <v>166</v>
      </c>
      <c r="B171" s="22" t="s">
        <v>1350</v>
      </c>
      <c r="C171" s="20" t="s">
        <v>50</v>
      </c>
      <c r="D171" s="69" t="s">
        <v>1396</v>
      </c>
      <c r="E171" s="69" t="s">
        <v>1397</v>
      </c>
      <c r="F171" s="69" t="s">
        <v>496</v>
      </c>
      <c r="G171" s="20" t="s">
        <v>64</v>
      </c>
      <c r="H171" s="20"/>
      <c r="I171" s="20" t="s">
        <v>1454</v>
      </c>
      <c r="J171" s="20" t="s">
        <v>1390</v>
      </c>
      <c r="K171" s="20" t="s">
        <v>67</v>
      </c>
      <c r="L171" s="20" t="s">
        <v>69</v>
      </c>
      <c r="M171" s="20" t="s">
        <v>539</v>
      </c>
      <c r="N171" s="4" t="s">
        <v>144</v>
      </c>
      <c r="O171" s="20" t="s">
        <v>542</v>
      </c>
      <c r="P171" s="20" t="s">
        <v>68</v>
      </c>
      <c r="Q171" s="23" t="s">
        <v>545</v>
      </c>
      <c r="R171" s="20" t="s">
        <v>46</v>
      </c>
      <c r="S171" s="20" t="s">
        <v>155</v>
      </c>
      <c r="T171" s="20" t="s">
        <v>43</v>
      </c>
      <c r="U171" s="20"/>
      <c r="V171" s="38" t="s">
        <v>1512</v>
      </c>
      <c r="W171" s="23">
        <v>2505214471</v>
      </c>
      <c r="X171" s="20" t="s">
        <v>1453</v>
      </c>
      <c r="Y171" s="23"/>
      <c r="Z171" s="38" t="s">
        <v>1513</v>
      </c>
      <c r="AA171" s="20">
        <v>8010571152</v>
      </c>
      <c r="AB171" s="20" t="s">
        <v>1319</v>
      </c>
      <c r="AC171" s="20"/>
      <c r="AD171" s="69" t="s">
        <v>1397</v>
      </c>
      <c r="AE171" s="20">
        <v>8010571152</v>
      </c>
      <c r="AF171" s="20"/>
      <c r="AG171" s="5" t="s">
        <v>1302</v>
      </c>
      <c r="AH171" s="5" t="s">
        <v>723</v>
      </c>
      <c r="AI171" s="5" t="s">
        <v>799</v>
      </c>
      <c r="AJ171" s="20" t="s">
        <v>786</v>
      </c>
      <c r="AK171" s="20">
        <v>424308</v>
      </c>
      <c r="AL171" s="5" t="s">
        <v>1302</v>
      </c>
      <c r="AM171" s="5" t="s">
        <v>723</v>
      </c>
      <c r="AN171" s="5" t="s">
        <v>799</v>
      </c>
      <c r="AO171" s="20" t="s">
        <v>786</v>
      </c>
      <c r="AP171" s="20">
        <v>424308</v>
      </c>
      <c r="AQ171" s="28" t="s">
        <v>839</v>
      </c>
      <c r="AR171" s="20">
        <v>80026467141</v>
      </c>
      <c r="AS171" s="20" t="s">
        <v>1449</v>
      </c>
      <c r="AT171" s="22" t="s">
        <v>1355</v>
      </c>
    </row>
    <row r="172" spans="1:46" x14ac:dyDescent="0.25">
      <c r="A172" s="20">
        <v>167</v>
      </c>
      <c r="B172" s="22" t="s">
        <v>1351</v>
      </c>
      <c r="C172" s="20" t="s">
        <v>50</v>
      </c>
      <c r="D172" s="69" t="s">
        <v>812</v>
      </c>
      <c r="E172" s="69" t="s">
        <v>1398</v>
      </c>
      <c r="F172" s="69" t="s">
        <v>403</v>
      </c>
      <c r="G172" s="20" t="s">
        <v>64</v>
      </c>
      <c r="H172" s="20"/>
      <c r="I172" s="20" t="s">
        <v>1455</v>
      </c>
      <c r="J172" s="20" t="s">
        <v>1390</v>
      </c>
      <c r="K172" s="20" t="s">
        <v>67</v>
      </c>
      <c r="L172" s="20" t="s">
        <v>69</v>
      </c>
      <c r="M172" s="20" t="s">
        <v>539</v>
      </c>
      <c r="N172" s="4" t="s">
        <v>144</v>
      </c>
      <c r="O172" s="20" t="s">
        <v>542</v>
      </c>
      <c r="P172" s="20" t="s">
        <v>68</v>
      </c>
      <c r="Q172" s="23" t="s">
        <v>545</v>
      </c>
      <c r="R172" s="20" t="s">
        <v>46</v>
      </c>
      <c r="S172" s="20" t="s">
        <v>155</v>
      </c>
      <c r="T172" s="20" t="s">
        <v>43</v>
      </c>
      <c r="U172" s="20"/>
      <c r="V172" s="23">
        <v>102114479617</v>
      </c>
      <c r="W172" s="23">
        <v>3601596732</v>
      </c>
      <c r="X172" s="20" t="s">
        <v>1456</v>
      </c>
      <c r="Y172" s="23"/>
      <c r="Z172" s="38" t="s">
        <v>1514</v>
      </c>
      <c r="AA172" s="20">
        <v>9604622652</v>
      </c>
      <c r="AB172" s="20" t="s">
        <v>1319</v>
      </c>
      <c r="AC172" s="20"/>
      <c r="AD172" s="69" t="s">
        <v>1398</v>
      </c>
      <c r="AE172" s="20">
        <v>9604622652</v>
      </c>
      <c r="AF172" s="20"/>
      <c r="AG172" s="5" t="s">
        <v>1437</v>
      </c>
      <c r="AH172" s="5" t="s">
        <v>766</v>
      </c>
      <c r="AI172" s="5" t="s">
        <v>799</v>
      </c>
      <c r="AJ172" s="20" t="s">
        <v>779</v>
      </c>
      <c r="AK172" s="20">
        <v>424305</v>
      </c>
      <c r="AL172" s="5" t="s">
        <v>1437</v>
      </c>
      <c r="AM172" s="5" t="s">
        <v>766</v>
      </c>
      <c r="AN172" s="5" t="s">
        <v>799</v>
      </c>
      <c r="AO172" s="20" t="s">
        <v>779</v>
      </c>
      <c r="AP172" s="20">
        <v>424305</v>
      </c>
      <c r="AQ172" s="20" t="s">
        <v>846</v>
      </c>
      <c r="AR172" s="20">
        <v>7625019229</v>
      </c>
      <c r="AS172" s="20" t="s">
        <v>912</v>
      </c>
      <c r="AT172" s="22" t="s">
        <v>1356</v>
      </c>
    </row>
    <row r="173" spans="1:46" x14ac:dyDescent="0.25">
      <c r="A173" s="20">
        <v>168</v>
      </c>
      <c r="B173" s="22" t="s">
        <v>1352</v>
      </c>
      <c r="C173" s="20" t="s">
        <v>50</v>
      </c>
      <c r="D173" s="69" t="s">
        <v>1136</v>
      </c>
      <c r="E173" s="69" t="s">
        <v>1399</v>
      </c>
      <c r="F173" s="69" t="s">
        <v>516</v>
      </c>
      <c r="G173" s="20" t="s">
        <v>64</v>
      </c>
      <c r="H173" s="20"/>
      <c r="I173" s="20" t="s">
        <v>1457</v>
      </c>
      <c r="J173" s="20" t="s">
        <v>1390</v>
      </c>
      <c r="K173" s="20" t="s">
        <v>67</v>
      </c>
      <c r="L173" s="20" t="s">
        <v>69</v>
      </c>
      <c r="M173" s="4" t="s">
        <v>540</v>
      </c>
      <c r="N173" s="4" t="s">
        <v>144</v>
      </c>
      <c r="O173" s="20" t="s">
        <v>542</v>
      </c>
      <c r="P173" s="20" t="s">
        <v>68</v>
      </c>
      <c r="Q173" s="23" t="s">
        <v>545</v>
      </c>
      <c r="R173" s="20" t="s">
        <v>46</v>
      </c>
      <c r="S173" s="20" t="s">
        <v>155</v>
      </c>
      <c r="T173" s="20" t="s">
        <v>43</v>
      </c>
      <c r="U173" s="20"/>
      <c r="V173" s="23"/>
      <c r="W173" s="20" t="s">
        <v>1503</v>
      </c>
      <c r="X173" s="20"/>
      <c r="Y173" s="70"/>
      <c r="Z173" s="20">
        <v>848953981310</v>
      </c>
      <c r="AA173" s="20">
        <v>7620130497</v>
      </c>
      <c r="AB173" s="20" t="s">
        <v>1319</v>
      </c>
      <c r="AC173" s="20"/>
      <c r="AD173" s="69" t="s">
        <v>1399</v>
      </c>
      <c r="AE173" s="20">
        <v>7620130497</v>
      </c>
      <c r="AF173" s="20"/>
      <c r="AG173" s="5" t="s">
        <v>1458</v>
      </c>
      <c r="AH173" s="5" t="s">
        <v>1459</v>
      </c>
      <c r="AI173" s="5" t="s">
        <v>799</v>
      </c>
      <c r="AJ173" s="20" t="s">
        <v>1459</v>
      </c>
      <c r="AK173" s="20">
        <v>423302</v>
      </c>
      <c r="AL173" s="5" t="s">
        <v>1458</v>
      </c>
      <c r="AM173" s="5" t="s">
        <v>1459</v>
      </c>
      <c r="AN173" s="5" t="s">
        <v>799</v>
      </c>
      <c r="AO173" s="20" t="s">
        <v>1459</v>
      </c>
      <c r="AP173" s="20">
        <v>423302</v>
      </c>
      <c r="AQ173" s="20" t="s">
        <v>1460</v>
      </c>
      <c r="AR173" s="20">
        <v>7620130497</v>
      </c>
      <c r="AS173" s="20" t="s">
        <v>1461</v>
      </c>
      <c r="AT173" s="22" t="s">
        <v>1357</v>
      </c>
    </row>
    <row r="174" spans="1:46" x14ac:dyDescent="0.25">
      <c r="A174" s="20">
        <v>169</v>
      </c>
      <c r="B174" s="22" t="s">
        <v>1353</v>
      </c>
      <c r="C174" s="20" t="s">
        <v>50</v>
      </c>
      <c r="D174" s="69" t="s">
        <v>387</v>
      </c>
      <c r="E174" s="69" t="s">
        <v>1401</v>
      </c>
      <c r="F174" s="69" t="s">
        <v>1400</v>
      </c>
      <c r="G174" s="20" t="s">
        <v>64</v>
      </c>
      <c r="H174" s="20"/>
      <c r="I174" s="20" t="s">
        <v>1462</v>
      </c>
      <c r="J174" s="20" t="s">
        <v>1390</v>
      </c>
      <c r="K174" s="20" t="s">
        <v>67</v>
      </c>
      <c r="L174" s="20" t="s">
        <v>69</v>
      </c>
      <c r="M174" s="20" t="s">
        <v>539</v>
      </c>
      <c r="N174" s="4" t="s">
        <v>144</v>
      </c>
      <c r="O174" s="20" t="s">
        <v>542</v>
      </c>
      <c r="P174" s="20" t="s">
        <v>68</v>
      </c>
      <c r="Q174" s="23" t="s">
        <v>545</v>
      </c>
      <c r="R174" s="20" t="s">
        <v>46</v>
      </c>
      <c r="S174" s="20" t="s">
        <v>155</v>
      </c>
      <c r="T174" s="20" t="s">
        <v>43</v>
      </c>
      <c r="U174" s="20"/>
      <c r="V174" s="23"/>
      <c r="W174" s="20">
        <v>2505214517</v>
      </c>
      <c r="X174" s="20" t="s">
        <v>1463</v>
      </c>
      <c r="Y174" s="70"/>
      <c r="Z174" s="20">
        <v>732626121699</v>
      </c>
      <c r="AA174" s="20">
        <v>9529816506</v>
      </c>
      <c r="AB174" s="20" t="s">
        <v>1319</v>
      </c>
      <c r="AC174" s="20"/>
      <c r="AD174" s="69" t="s">
        <v>1401</v>
      </c>
      <c r="AE174" s="20">
        <v>9529816506</v>
      </c>
      <c r="AF174" s="20"/>
      <c r="AG174" s="5" t="s">
        <v>1464</v>
      </c>
      <c r="AH174" s="5" t="s">
        <v>1465</v>
      </c>
      <c r="AI174" s="5" t="s">
        <v>799</v>
      </c>
      <c r="AJ174" s="20" t="s">
        <v>1283</v>
      </c>
      <c r="AK174" s="20">
        <v>424305</v>
      </c>
      <c r="AL174" s="5" t="s">
        <v>1464</v>
      </c>
      <c r="AM174" s="5" t="s">
        <v>1465</v>
      </c>
      <c r="AN174" s="5" t="s">
        <v>799</v>
      </c>
      <c r="AO174" s="20" t="s">
        <v>1283</v>
      </c>
      <c r="AP174" s="20">
        <v>424305</v>
      </c>
      <c r="AQ174" s="20" t="s">
        <v>982</v>
      </c>
      <c r="AR174" s="20">
        <v>60439245287</v>
      </c>
      <c r="AS174" s="20" t="s">
        <v>1466</v>
      </c>
      <c r="AT174" s="22" t="s">
        <v>1358</v>
      </c>
    </row>
    <row r="175" spans="1:46" x14ac:dyDescent="0.25">
      <c r="A175" s="20">
        <v>170</v>
      </c>
      <c r="B175" s="22" t="s">
        <v>1354</v>
      </c>
      <c r="C175" s="20" t="s">
        <v>50</v>
      </c>
      <c r="D175" s="69" t="s">
        <v>1402</v>
      </c>
      <c r="E175" s="69" t="s">
        <v>463</v>
      </c>
      <c r="F175" s="69" t="s">
        <v>502</v>
      </c>
      <c r="G175" s="20" t="s">
        <v>64</v>
      </c>
      <c r="H175" s="20"/>
      <c r="I175" s="20" t="s">
        <v>1467</v>
      </c>
      <c r="J175" s="20" t="s">
        <v>1390</v>
      </c>
      <c r="K175" s="20" t="s">
        <v>67</v>
      </c>
      <c r="L175" s="20" t="s">
        <v>69</v>
      </c>
      <c r="M175" s="20" t="s">
        <v>539</v>
      </c>
      <c r="N175" s="4" t="s">
        <v>144</v>
      </c>
      <c r="O175" s="20" t="s">
        <v>542</v>
      </c>
      <c r="P175" s="20" t="s">
        <v>68</v>
      </c>
      <c r="Q175" s="23" t="s">
        <v>545</v>
      </c>
      <c r="R175" s="20" t="s">
        <v>46</v>
      </c>
      <c r="S175" s="20" t="s">
        <v>155</v>
      </c>
      <c r="T175" s="20" t="s">
        <v>43</v>
      </c>
      <c r="U175" s="20"/>
      <c r="V175" s="23"/>
      <c r="W175" s="20">
        <v>2505214543</v>
      </c>
      <c r="X175" s="20" t="s">
        <v>1468</v>
      </c>
      <c r="Y175" s="70"/>
      <c r="Z175" s="20">
        <v>499673551619</v>
      </c>
      <c r="AA175" s="20">
        <v>9529094775</v>
      </c>
      <c r="AB175" s="20" t="s">
        <v>1319</v>
      </c>
      <c r="AC175" s="20"/>
      <c r="AD175" s="69" t="s">
        <v>463</v>
      </c>
      <c r="AE175" s="20">
        <v>9529094775</v>
      </c>
      <c r="AF175" s="20"/>
      <c r="AG175" s="5" t="s">
        <v>1302</v>
      </c>
      <c r="AH175" s="5" t="s">
        <v>723</v>
      </c>
      <c r="AI175" s="5" t="s">
        <v>799</v>
      </c>
      <c r="AJ175" s="20" t="s">
        <v>786</v>
      </c>
      <c r="AK175" s="20">
        <v>424308</v>
      </c>
      <c r="AL175" s="5" t="s">
        <v>1302</v>
      </c>
      <c r="AM175" s="5" t="s">
        <v>723</v>
      </c>
      <c r="AN175" s="5" t="s">
        <v>799</v>
      </c>
      <c r="AO175" s="20" t="s">
        <v>786</v>
      </c>
      <c r="AP175" s="20">
        <v>424308</v>
      </c>
      <c r="AQ175" s="20" t="s">
        <v>846</v>
      </c>
      <c r="AR175" s="20">
        <v>7674095054</v>
      </c>
      <c r="AS175" s="20" t="s">
        <v>912</v>
      </c>
      <c r="AT175" s="22" t="s">
        <v>1359</v>
      </c>
    </row>
    <row r="176" spans="1:46" x14ac:dyDescent="0.25">
      <c r="A176" s="20">
        <v>171</v>
      </c>
      <c r="B176" s="22" t="s">
        <v>1375</v>
      </c>
      <c r="C176" s="20" t="s">
        <v>50</v>
      </c>
      <c r="D176" s="69" t="s">
        <v>1132</v>
      </c>
      <c r="E176" s="69" t="s">
        <v>1404</v>
      </c>
      <c r="F176" s="69" t="s">
        <v>1403</v>
      </c>
      <c r="G176" s="20" t="s">
        <v>64</v>
      </c>
      <c r="H176" s="20"/>
      <c r="I176" s="20" t="s">
        <v>1470</v>
      </c>
      <c r="J176" s="20" t="s">
        <v>1391</v>
      </c>
      <c r="K176" s="20" t="s">
        <v>67</v>
      </c>
      <c r="L176" s="20" t="s">
        <v>69</v>
      </c>
      <c r="M176" s="20" t="s">
        <v>539</v>
      </c>
      <c r="N176" s="4" t="s">
        <v>144</v>
      </c>
      <c r="O176" s="20" t="s">
        <v>542</v>
      </c>
      <c r="P176" s="20" t="s">
        <v>68</v>
      </c>
      <c r="Q176" s="23" t="s">
        <v>545</v>
      </c>
      <c r="R176" s="20" t="s">
        <v>46</v>
      </c>
      <c r="S176" s="20" t="s">
        <v>155</v>
      </c>
      <c r="T176" s="20" t="s">
        <v>43</v>
      </c>
      <c r="U176" s="20"/>
      <c r="V176" s="23">
        <v>102347008324</v>
      </c>
      <c r="W176" s="23">
        <v>2505214560</v>
      </c>
      <c r="X176" s="20" t="s">
        <v>1471</v>
      </c>
      <c r="Z176" s="38" t="s">
        <v>1515</v>
      </c>
      <c r="AA176" s="20">
        <v>9689365535</v>
      </c>
      <c r="AB176" s="20" t="s">
        <v>1319</v>
      </c>
      <c r="AC176" s="20"/>
      <c r="AD176" s="69" t="s">
        <v>1404</v>
      </c>
      <c r="AE176" s="20">
        <v>9689365535</v>
      </c>
      <c r="AF176" s="20"/>
      <c r="AG176" s="20" t="s">
        <v>957</v>
      </c>
      <c r="AH176" s="20" t="s">
        <v>1472</v>
      </c>
      <c r="AI176" s="5" t="s">
        <v>799</v>
      </c>
      <c r="AJ176" s="20" t="s">
        <v>781</v>
      </c>
      <c r="AK176" s="20">
        <v>425408</v>
      </c>
      <c r="AL176" s="20" t="s">
        <v>957</v>
      </c>
      <c r="AM176" s="20" t="s">
        <v>1472</v>
      </c>
      <c r="AN176" s="5" t="s">
        <v>799</v>
      </c>
      <c r="AO176" s="20" t="s">
        <v>781</v>
      </c>
      <c r="AP176" s="20">
        <v>425408</v>
      </c>
      <c r="AQ176" s="28" t="s">
        <v>840</v>
      </c>
      <c r="AR176" s="20">
        <v>32369015327</v>
      </c>
      <c r="AS176" s="20" t="s">
        <v>895</v>
      </c>
      <c r="AT176" s="22" t="s">
        <v>1360</v>
      </c>
    </row>
    <row r="177" spans="1:46" x14ac:dyDescent="0.25">
      <c r="A177" s="20">
        <v>172</v>
      </c>
      <c r="B177" s="22" t="s">
        <v>1376</v>
      </c>
      <c r="C177" s="20" t="s">
        <v>50</v>
      </c>
      <c r="D177" s="69" t="s">
        <v>369</v>
      </c>
      <c r="E177" s="69" t="s">
        <v>1405</v>
      </c>
      <c r="F177" s="69" t="s">
        <v>502</v>
      </c>
      <c r="G177" s="20" t="s">
        <v>64</v>
      </c>
      <c r="H177" s="20"/>
      <c r="I177" s="20"/>
      <c r="J177" s="20" t="s">
        <v>1391</v>
      </c>
      <c r="K177" s="20" t="s">
        <v>67</v>
      </c>
      <c r="L177" s="20" t="s">
        <v>69</v>
      </c>
      <c r="M177" s="20" t="s">
        <v>539</v>
      </c>
      <c r="N177" s="4" t="s">
        <v>144</v>
      </c>
      <c r="O177" s="20" t="s">
        <v>542</v>
      </c>
      <c r="P177" s="20" t="s">
        <v>68</v>
      </c>
      <c r="Q177" s="23" t="s">
        <v>545</v>
      </c>
      <c r="R177" s="20" t="s">
        <v>46</v>
      </c>
      <c r="S177" s="20" t="s">
        <v>155</v>
      </c>
      <c r="T177" s="20" t="s">
        <v>43</v>
      </c>
      <c r="U177" s="20"/>
      <c r="V177" s="23"/>
      <c r="W177" s="20">
        <v>2505215273</v>
      </c>
      <c r="X177" s="20"/>
      <c r="Y177" s="70"/>
      <c r="Z177" s="20"/>
      <c r="AA177" s="20"/>
      <c r="AB177" s="20" t="s">
        <v>1319</v>
      </c>
      <c r="AC177" s="20"/>
      <c r="AD177" s="69" t="s">
        <v>1405</v>
      </c>
      <c r="AE177" s="20"/>
      <c r="AF177" s="20"/>
      <c r="AG177" s="5" t="s">
        <v>1302</v>
      </c>
      <c r="AH177" s="5" t="s">
        <v>723</v>
      </c>
      <c r="AI177" s="5" t="s">
        <v>799</v>
      </c>
      <c r="AJ177" s="20" t="s">
        <v>786</v>
      </c>
      <c r="AK177" s="20">
        <v>424308</v>
      </c>
      <c r="AL177" s="5" t="s">
        <v>1302</v>
      </c>
      <c r="AM177" s="5" t="s">
        <v>723</v>
      </c>
      <c r="AN177" s="5" t="s">
        <v>799</v>
      </c>
      <c r="AO177" s="20" t="s">
        <v>786</v>
      </c>
      <c r="AP177" s="20">
        <v>424308</v>
      </c>
      <c r="AQ177" s="20"/>
      <c r="AR177" s="20"/>
      <c r="AS177" s="20"/>
      <c r="AT177" s="22" t="s">
        <v>1361</v>
      </c>
    </row>
    <row r="178" spans="1:46" x14ac:dyDescent="0.25">
      <c r="A178" s="20">
        <v>173</v>
      </c>
      <c r="B178" s="22" t="s">
        <v>1377</v>
      </c>
      <c r="C178" s="20" t="s">
        <v>50</v>
      </c>
      <c r="D178" s="69" t="s">
        <v>377</v>
      </c>
      <c r="E178" s="69" t="s">
        <v>438</v>
      </c>
      <c r="F178" s="69" t="s">
        <v>502</v>
      </c>
      <c r="G178" s="20" t="s">
        <v>64</v>
      </c>
      <c r="H178" s="20"/>
      <c r="I178" s="20" t="s">
        <v>1473</v>
      </c>
      <c r="J178" s="20" t="s">
        <v>1391</v>
      </c>
      <c r="K178" s="20" t="s">
        <v>67</v>
      </c>
      <c r="L178" s="20" t="s">
        <v>69</v>
      </c>
      <c r="M178" s="20" t="s">
        <v>539</v>
      </c>
      <c r="N178" s="4" t="s">
        <v>144</v>
      </c>
      <c r="O178" s="20" t="s">
        <v>542</v>
      </c>
      <c r="P178" s="20" t="s">
        <v>68</v>
      </c>
      <c r="Q178" s="23" t="s">
        <v>545</v>
      </c>
      <c r="R178" s="20" t="s">
        <v>46</v>
      </c>
      <c r="S178" s="20" t="s">
        <v>155</v>
      </c>
      <c r="T178" s="20" t="s">
        <v>43</v>
      </c>
      <c r="U178" s="20"/>
      <c r="V178" s="23">
        <v>102347005275</v>
      </c>
      <c r="W178" s="20">
        <v>2505214868</v>
      </c>
      <c r="X178" s="20" t="s">
        <v>1475</v>
      </c>
      <c r="Y178" s="70"/>
      <c r="Z178" s="38" t="s">
        <v>1516</v>
      </c>
      <c r="AA178" s="20">
        <v>9529678132</v>
      </c>
      <c r="AB178" s="20" t="s">
        <v>1319</v>
      </c>
      <c r="AC178" s="20"/>
      <c r="AD178" s="69" t="s">
        <v>438</v>
      </c>
      <c r="AE178" s="20">
        <v>9529678132</v>
      </c>
      <c r="AF178" s="20"/>
      <c r="AG178" s="5" t="s">
        <v>1464</v>
      </c>
      <c r="AH178" s="5" t="s">
        <v>1465</v>
      </c>
      <c r="AI178" s="5" t="s">
        <v>799</v>
      </c>
      <c r="AJ178" s="20" t="s">
        <v>1283</v>
      </c>
      <c r="AK178" s="20">
        <v>424305</v>
      </c>
      <c r="AL178" s="5" t="s">
        <v>1464</v>
      </c>
      <c r="AM178" s="5" t="s">
        <v>1465</v>
      </c>
      <c r="AN178" s="5" t="s">
        <v>799</v>
      </c>
      <c r="AO178" s="20" t="s">
        <v>1283</v>
      </c>
      <c r="AP178" s="20">
        <v>424305</v>
      </c>
      <c r="AQ178" s="20" t="s">
        <v>1428</v>
      </c>
      <c r="AR178" s="20">
        <v>32210094931</v>
      </c>
      <c r="AS178" s="20" t="s">
        <v>922</v>
      </c>
      <c r="AT178" s="22" t="s">
        <v>1362</v>
      </c>
    </row>
    <row r="179" spans="1:46" x14ac:dyDescent="0.25">
      <c r="A179" s="20">
        <v>174</v>
      </c>
      <c r="B179" s="22" t="s">
        <v>1378</v>
      </c>
      <c r="C179" s="20" t="s">
        <v>50</v>
      </c>
      <c r="D179" s="69" t="s">
        <v>1406</v>
      </c>
      <c r="E179" s="69" t="s">
        <v>1397</v>
      </c>
      <c r="F179" s="69" t="s">
        <v>1158</v>
      </c>
      <c r="G179" s="20" t="s">
        <v>64</v>
      </c>
      <c r="H179" s="20"/>
      <c r="I179" s="20" t="s">
        <v>1476</v>
      </c>
      <c r="J179" s="20" t="s">
        <v>1391</v>
      </c>
      <c r="K179" s="20" t="s">
        <v>67</v>
      </c>
      <c r="L179" s="20" t="s">
        <v>69</v>
      </c>
      <c r="M179" s="20" t="s">
        <v>539</v>
      </c>
      <c r="N179" s="4" t="s">
        <v>144</v>
      </c>
      <c r="O179" s="20" t="s">
        <v>542</v>
      </c>
      <c r="P179" s="20" t="s">
        <v>68</v>
      </c>
      <c r="Q179" s="23" t="s">
        <v>545</v>
      </c>
      <c r="R179" s="20" t="s">
        <v>46</v>
      </c>
      <c r="S179" s="20" t="s">
        <v>155</v>
      </c>
      <c r="T179" s="20" t="s">
        <v>43</v>
      </c>
      <c r="U179" s="20"/>
      <c r="V179" s="23">
        <v>100678571300</v>
      </c>
      <c r="W179" s="20">
        <v>2505214885</v>
      </c>
      <c r="X179" s="20" t="s">
        <v>1477</v>
      </c>
      <c r="Y179" s="70"/>
      <c r="Z179" s="38" t="s">
        <v>1517</v>
      </c>
      <c r="AA179" s="20">
        <v>9158563973</v>
      </c>
      <c r="AB179" s="20" t="s">
        <v>1185</v>
      </c>
      <c r="AC179" s="20"/>
      <c r="AD179" s="69" t="s">
        <v>1397</v>
      </c>
      <c r="AE179" s="20">
        <v>9158563973</v>
      </c>
      <c r="AF179" s="20"/>
      <c r="AG179" s="36" t="s">
        <v>950</v>
      </c>
      <c r="AH179" s="20" t="s">
        <v>758</v>
      </c>
      <c r="AI179" s="5" t="s">
        <v>799</v>
      </c>
      <c r="AJ179" s="20" t="s">
        <v>787</v>
      </c>
      <c r="AK179" s="20">
        <v>424305</v>
      </c>
      <c r="AL179" s="36" t="s">
        <v>950</v>
      </c>
      <c r="AM179" s="20" t="s">
        <v>758</v>
      </c>
      <c r="AN179" s="5" t="s">
        <v>799</v>
      </c>
      <c r="AO179" s="20" t="s">
        <v>787</v>
      </c>
      <c r="AP179" s="20">
        <v>424305</v>
      </c>
      <c r="AQ179" s="20" t="s">
        <v>1341</v>
      </c>
      <c r="AR179" s="20">
        <v>3915291885</v>
      </c>
      <c r="AS179" s="20" t="s">
        <v>897</v>
      </c>
      <c r="AT179" s="22" t="s">
        <v>1363</v>
      </c>
    </row>
    <row r="180" spans="1:46" x14ac:dyDescent="0.25">
      <c r="A180" s="20">
        <v>175</v>
      </c>
      <c r="B180" s="22" t="s">
        <v>1379</v>
      </c>
      <c r="C180" s="20" t="s">
        <v>50</v>
      </c>
      <c r="D180" s="69" t="s">
        <v>1407</v>
      </c>
      <c r="E180" s="69" t="s">
        <v>1408</v>
      </c>
      <c r="F180" s="69" t="s">
        <v>505</v>
      </c>
      <c r="G180" s="20" t="s">
        <v>64</v>
      </c>
      <c r="H180" s="20"/>
      <c r="I180" s="20" t="s">
        <v>1478</v>
      </c>
      <c r="J180" s="20" t="s">
        <v>1391</v>
      </c>
      <c r="K180" s="20" t="s">
        <v>67</v>
      </c>
      <c r="L180" s="20" t="s">
        <v>69</v>
      </c>
      <c r="M180" s="20" t="s">
        <v>539</v>
      </c>
      <c r="N180" s="4" t="s">
        <v>144</v>
      </c>
      <c r="O180" s="20" t="s">
        <v>542</v>
      </c>
      <c r="P180" s="20" t="s">
        <v>68</v>
      </c>
      <c r="Q180" s="23" t="s">
        <v>545</v>
      </c>
      <c r="R180" s="20" t="s">
        <v>46</v>
      </c>
      <c r="S180" s="20" t="s">
        <v>155</v>
      </c>
      <c r="T180" s="20" t="s">
        <v>43</v>
      </c>
      <c r="U180" s="20"/>
      <c r="V180" s="23">
        <v>102347021218</v>
      </c>
      <c r="W180" s="20">
        <v>2505214905</v>
      </c>
      <c r="X180" s="20" t="s">
        <v>1479</v>
      </c>
      <c r="Y180" s="70"/>
      <c r="Z180" s="38" t="s">
        <v>1518</v>
      </c>
      <c r="AA180" s="20">
        <v>8788247743</v>
      </c>
      <c r="AB180" s="20" t="s">
        <v>1319</v>
      </c>
      <c r="AC180" s="20"/>
      <c r="AD180" s="69" t="s">
        <v>1408</v>
      </c>
      <c r="AE180" s="20">
        <v>8788247743</v>
      </c>
      <c r="AF180" s="20"/>
      <c r="AG180" s="5" t="s">
        <v>1441</v>
      </c>
      <c r="AH180" s="5" t="s">
        <v>938</v>
      </c>
      <c r="AI180" s="5" t="s">
        <v>799</v>
      </c>
      <c r="AJ180" s="20" t="s">
        <v>1283</v>
      </c>
      <c r="AK180" s="20">
        <v>424305</v>
      </c>
      <c r="AL180" s="5" t="s">
        <v>1441</v>
      </c>
      <c r="AM180" s="5" t="s">
        <v>1480</v>
      </c>
      <c r="AN180" s="5" t="s">
        <v>799</v>
      </c>
      <c r="AO180" s="20" t="s">
        <v>1283</v>
      </c>
      <c r="AP180" s="20">
        <v>424305</v>
      </c>
      <c r="AQ180" s="28" t="s">
        <v>840</v>
      </c>
      <c r="AR180" s="20">
        <v>43115918206</v>
      </c>
      <c r="AS180" s="20" t="s">
        <v>895</v>
      </c>
      <c r="AT180" s="22" t="s">
        <v>1364</v>
      </c>
    </row>
    <row r="181" spans="1:46" x14ac:dyDescent="0.25">
      <c r="A181" s="20">
        <v>176</v>
      </c>
      <c r="B181" s="22" t="s">
        <v>1380</v>
      </c>
      <c r="C181" s="20" t="s">
        <v>50</v>
      </c>
      <c r="D181" s="69" t="s">
        <v>365</v>
      </c>
      <c r="E181" s="69" t="s">
        <v>819</v>
      </c>
      <c r="F181" s="69" t="s">
        <v>496</v>
      </c>
      <c r="G181" s="20" t="s">
        <v>64</v>
      </c>
      <c r="H181" s="20"/>
      <c r="I181" s="20" t="s">
        <v>1481</v>
      </c>
      <c r="J181" s="20" t="s">
        <v>1391</v>
      </c>
      <c r="K181" s="20" t="s">
        <v>67</v>
      </c>
      <c r="L181" s="20" t="s">
        <v>69</v>
      </c>
      <c r="M181" s="4" t="s">
        <v>540</v>
      </c>
      <c r="N181" s="4" t="s">
        <v>144</v>
      </c>
      <c r="O181" s="20" t="s">
        <v>542</v>
      </c>
      <c r="P181" s="20" t="s">
        <v>68</v>
      </c>
      <c r="Q181" s="23" t="s">
        <v>545</v>
      </c>
      <c r="R181" s="20" t="s">
        <v>46</v>
      </c>
      <c r="S181" s="20" t="s">
        <v>155</v>
      </c>
      <c r="T181" s="20" t="s">
        <v>43</v>
      </c>
      <c r="U181" s="20"/>
      <c r="V181" s="23">
        <v>102347029099</v>
      </c>
      <c r="W181" s="23">
        <v>2505214961</v>
      </c>
      <c r="X181" s="20" t="s">
        <v>1482</v>
      </c>
      <c r="Y181" s="71"/>
      <c r="Z181" s="38" t="s">
        <v>1519</v>
      </c>
      <c r="AA181" s="20">
        <v>7666156705</v>
      </c>
      <c r="AB181" s="20" t="s">
        <v>1319</v>
      </c>
      <c r="AC181" s="20"/>
      <c r="AD181" s="69" t="s">
        <v>819</v>
      </c>
      <c r="AE181" s="20">
        <v>7666156705</v>
      </c>
      <c r="AF181" s="20"/>
      <c r="AG181" s="5" t="s">
        <v>1302</v>
      </c>
      <c r="AH181" s="5" t="s">
        <v>723</v>
      </c>
      <c r="AI181" s="5" t="s">
        <v>799</v>
      </c>
      <c r="AJ181" s="20" t="s">
        <v>786</v>
      </c>
      <c r="AK181" s="20">
        <v>424308</v>
      </c>
      <c r="AL181" s="5" t="s">
        <v>1302</v>
      </c>
      <c r="AM181" s="5" t="s">
        <v>723</v>
      </c>
      <c r="AN181" s="5" t="s">
        <v>799</v>
      </c>
      <c r="AO181" s="20" t="s">
        <v>786</v>
      </c>
      <c r="AP181" s="20">
        <v>424308</v>
      </c>
      <c r="AQ181" s="28" t="s">
        <v>839</v>
      </c>
      <c r="AR181" s="20">
        <v>80027278164</v>
      </c>
      <c r="AS181" s="20" t="s">
        <v>894</v>
      </c>
      <c r="AT181" s="22" t="s">
        <v>1365</v>
      </c>
    </row>
    <row r="182" spans="1:46" x14ac:dyDescent="0.25">
      <c r="A182" s="20">
        <v>177</v>
      </c>
      <c r="B182" s="22" t="s">
        <v>1381</v>
      </c>
      <c r="C182" s="20" t="s">
        <v>50</v>
      </c>
      <c r="D182" s="69" t="s">
        <v>1144</v>
      </c>
      <c r="E182" s="69" t="s">
        <v>1410</v>
      </c>
      <c r="F182" s="69" t="s">
        <v>1409</v>
      </c>
      <c r="G182" s="20" t="s">
        <v>64</v>
      </c>
      <c r="H182" s="20"/>
      <c r="I182" s="20" t="s">
        <v>1483</v>
      </c>
      <c r="J182" s="20" t="s">
        <v>1391</v>
      </c>
      <c r="K182" s="20" t="s">
        <v>67</v>
      </c>
      <c r="L182" s="20" t="s">
        <v>69</v>
      </c>
      <c r="M182" s="20" t="s">
        <v>539</v>
      </c>
      <c r="N182" s="4" t="s">
        <v>144</v>
      </c>
      <c r="O182" s="20" t="s">
        <v>542</v>
      </c>
      <c r="P182" s="20" t="s">
        <v>68</v>
      </c>
      <c r="Q182" s="23" t="s">
        <v>545</v>
      </c>
      <c r="R182" s="20" t="s">
        <v>46</v>
      </c>
      <c r="S182" s="20" t="s">
        <v>155</v>
      </c>
      <c r="T182" s="20" t="s">
        <v>43</v>
      </c>
      <c r="U182" s="20"/>
      <c r="V182" s="23">
        <v>102347020385</v>
      </c>
      <c r="W182" s="23">
        <v>2505214982</v>
      </c>
      <c r="X182" s="20" t="s">
        <v>1484</v>
      </c>
      <c r="Y182" s="71"/>
      <c r="Z182" s="38" t="s">
        <v>1520</v>
      </c>
      <c r="AA182" s="20">
        <v>7666463645</v>
      </c>
      <c r="AB182" s="20" t="s">
        <v>1319</v>
      </c>
      <c r="AC182" s="20"/>
      <c r="AD182" s="69" t="s">
        <v>1410</v>
      </c>
      <c r="AE182" s="20">
        <v>7666463645</v>
      </c>
      <c r="AF182" s="20"/>
      <c r="AG182" s="5" t="s">
        <v>1485</v>
      </c>
      <c r="AH182" s="5" t="s">
        <v>1486</v>
      </c>
      <c r="AI182" s="5" t="s">
        <v>799</v>
      </c>
      <c r="AJ182" s="20" t="s">
        <v>784</v>
      </c>
      <c r="AK182" s="20">
        <v>424304</v>
      </c>
      <c r="AL182" s="5" t="s">
        <v>1485</v>
      </c>
      <c r="AM182" s="5" t="s">
        <v>1486</v>
      </c>
      <c r="AN182" s="5" t="s">
        <v>799</v>
      </c>
      <c r="AO182" s="20" t="s">
        <v>784</v>
      </c>
      <c r="AP182" s="20">
        <v>424304</v>
      </c>
      <c r="AQ182" s="20" t="s">
        <v>1341</v>
      </c>
      <c r="AR182" s="20">
        <v>5449515345</v>
      </c>
      <c r="AS182" s="20" t="s">
        <v>1487</v>
      </c>
      <c r="AT182" s="22" t="s">
        <v>1366</v>
      </c>
    </row>
    <row r="183" spans="1:46" x14ac:dyDescent="0.25">
      <c r="A183" s="20">
        <v>178</v>
      </c>
      <c r="B183" s="22" t="s">
        <v>1382</v>
      </c>
      <c r="C183" s="20" t="s">
        <v>50</v>
      </c>
      <c r="D183" s="69" t="s">
        <v>1148</v>
      </c>
      <c r="E183" s="69" t="s">
        <v>1411</v>
      </c>
      <c r="F183" s="69" t="s">
        <v>1151</v>
      </c>
      <c r="G183" s="20" t="s">
        <v>64</v>
      </c>
      <c r="H183" s="20"/>
      <c r="I183" s="20" t="s">
        <v>1488</v>
      </c>
      <c r="J183" s="20" t="s">
        <v>1391</v>
      </c>
      <c r="K183" s="20" t="s">
        <v>67</v>
      </c>
      <c r="L183" s="20" t="s">
        <v>69</v>
      </c>
      <c r="M183" s="20" t="s">
        <v>539</v>
      </c>
      <c r="N183" s="4" t="s">
        <v>144</v>
      </c>
      <c r="O183" s="20" t="s">
        <v>542</v>
      </c>
      <c r="P183" s="20" t="s">
        <v>68</v>
      </c>
      <c r="Q183" s="23" t="s">
        <v>545</v>
      </c>
      <c r="R183" s="20" t="s">
        <v>46</v>
      </c>
      <c r="S183" s="20" t="s">
        <v>155</v>
      </c>
      <c r="T183" s="20" t="s">
        <v>43</v>
      </c>
      <c r="U183" s="20"/>
      <c r="V183" s="23">
        <v>102347046622</v>
      </c>
      <c r="W183" s="20">
        <v>2505215013</v>
      </c>
      <c r="X183" s="20" t="s">
        <v>1507</v>
      </c>
      <c r="Y183" s="70"/>
      <c r="Z183" s="38" t="s">
        <v>1521</v>
      </c>
      <c r="AA183" s="20">
        <v>8767352693</v>
      </c>
      <c r="AB183" s="20" t="s">
        <v>1319</v>
      </c>
      <c r="AC183" s="20"/>
      <c r="AD183" s="69" t="s">
        <v>1411</v>
      </c>
      <c r="AE183" s="20">
        <v>8767352693</v>
      </c>
      <c r="AF183" s="20"/>
      <c r="AG183" s="5" t="s">
        <v>1302</v>
      </c>
      <c r="AH183" s="5" t="s">
        <v>723</v>
      </c>
      <c r="AI183" s="5" t="s">
        <v>799</v>
      </c>
      <c r="AJ183" s="20" t="s">
        <v>786</v>
      </c>
      <c r="AK183" s="20">
        <v>424308</v>
      </c>
      <c r="AL183" s="5" t="s">
        <v>1302</v>
      </c>
      <c r="AM183" s="5" t="s">
        <v>723</v>
      </c>
      <c r="AN183" s="5" t="s">
        <v>799</v>
      </c>
      <c r="AO183" s="20" t="s">
        <v>786</v>
      </c>
      <c r="AP183" s="20">
        <v>424308</v>
      </c>
      <c r="AQ183" s="20"/>
      <c r="AR183" s="20"/>
      <c r="AS183" s="20"/>
      <c r="AT183" s="22" t="s">
        <v>1367</v>
      </c>
    </row>
    <row r="184" spans="1:46" x14ac:dyDescent="0.25">
      <c r="A184" s="20">
        <v>179</v>
      </c>
      <c r="B184" s="22" t="s">
        <v>1383</v>
      </c>
      <c r="C184" s="20" t="s">
        <v>50</v>
      </c>
      <c r="D184" s="69" t="s">
        <v>399</v>
      </c>
      <c r="E184" s="69" t="s">
        <v>349</v>
      </c>
      <c r="F184" s="69" t="s">
        <v>1412</v>
      </c>
      <c r="G184" s="20" t="s">
        <v>64</v>
      </c>
      <c r="H184" s="20"/>
      <c r="I184" s="20" t="s">
        <v>1489</v>
      </c>
      <c r="J184" s="20" t="s">
        <v>1391</v>
      </c>
      <c r="K184" s="20" t="s">
        <v>67</v>
      </c>
      <c r="L184" s="20" t="s">
        <v>69</v>
      </c>
      <c r="M184" s="4" t="s">
        <v>540</v>
      </c>
      <c r="N184" s="4" t="s">
        <v>144</v>
      </c>
      <c r="O184" s="20" t="s">
        <v>542</v>
      </c>
      <c r="P184" s="20" t="s">
        <v>68</v>
      </c>
      <c r="Q184" s="23" t="s">
        <v>545</v>
      </c>
      <c r="R184" s="20" t="s">
        <v>46</v>
      </c>
      <c r="S184" s="20" t="s">
        <v>155</v>
      </c>
      <c r="T184" s="20" t="s">
        <v>43</v>
      </c>
      <c r="U184" s="20"/>
      <c r="V184" s="23"/>
      <c r="W184" s="20">
        <v>2505215189</v>
      </c>
      <c r="X184" s="20" t="s">
        <v>1490</v>
      </c>
      <c r="Y184" s="70"/>
      <c r="Z184" s="20">
        <v>737352767071</v>
      </c>
      <c r="AA184" s="20">
        <v>9309907910</v>
      </c>
      <c r="AB184" s="20" t="s">
        <v>1319</v>
      </c>
      <c r="AC184" s="20"/>
      <c r="AD184" s="69" t="s">
        <v>349</v>
      </c>
      <c r="AE184" s="20"/>
      <c r="AF184" s="20"/>
      <c r="AG184" s="5" t="s">
        <v>1491</v>
      </c>
      <c r="AH184" s="5" t="s">
        <v>1492</v>
      </c>
      <c r="AI184" s="5" t="s">
        <v>799</v>
      </c>
      <c r="AJ184" s="20" t="s">
        <v>1283</v>
      </c>
      <c r="AK184" s="20">
        <v>424308</v>
      </c>
      <c r="AL184" s="5" t="s">
        <v>1491</v>
      </c>
      <c r="AM184" s="5" t="s">
        <v>1492</v>
      </c>
      <c r="AN184" s="5" t="s">
        <v>799</v>
      </c>
      <c r="AO184" s="20" t="s">
        <v>1283</v>
      </c>
      <c r="AP184" s="20">
        <v>424308</v>
      </c>
      <c r="AQ184" s="28" t="s">
        <v>840</v>
      </c>
      <c r="AR184" s="20">
        <v>3872182003</v>
      </c>
      <c r="AS184" s="20" t="s">
        <v>898</v>
      </c>
      <c r="AT184" s="22" t="s">
        <v>1368</v>
      </c>
    </row>
    <row r="185" spans="1:46" x14ac:dyDescent="0.25">
      <c r="A185" s="20">
        <v>180</v>
      </c>
      <c r="B185" s="22" t="s">
        <v>1384</v>
      </c>
      <c r="C185" s="20" t="s">
        <v>50</v>
      </c>
      <c r="D185" s="69" t="s">
        <v>399</v>
      </c>
      <c r="E185" s="69" t="s">
        <v>486</v>
      </c>
      <c r="F185" s="69" t="s">
        <v>1139</v>
      </c>
      <c r="G185" s="20" t="s">
        <v>64</v>
      </c>
      <c r="H185" s="20"/>
      <c r="I185" s="20" t="s">
        <v>1493</v>
      </c>
      <c r="J185" s="20" t="s">
        <v>1391</v>
      </c>
      <c r="K185" s="20" t="s">
        <v>67</v>
      </c>
      <c r="L185" s="20" t="s">
        <v>69</v>
      </c>
      <c r="M185" s="20" t="s">
        <v>539</v>
      </c>
      <c r="N185" s="4" t="s">
        <v>144</v>
      </c>
      <c r="O185" s="20" t="s">
        <v>542</v>
      </c>
      <c r="P185" s="20" t="s">
        <v>68</v>
      </c>
      <c r="Q185" s="23" t="s">
        <v>545</v>
      </c>
      <c r="R185" s="20" t="s">
        <v>46</v>
      </c>
      <c r="S185" s="20" t="s">
        <v>155</v>
      </c>
      <c r="T185" s="20" t="s">
        <v>43</v>
      </c>
      <c r="U185" s="20"/>
      <c r="V185" s="23">
        <v>101521589816</v>
      </c>
      <c r="W185" s="20">
        <v>2505215028</v>
      </c>
      <c r="X185" s="20" t="s">
        <v>1494</v>
      </c>
      <c r="Y185" s="70"/>
      <c r="Z185" s="38" t="s">
        <v>1522</v>
      </c>
      <c r="AA185" s="20">
        <v>7709387224</v>
      </c>
      <c r="AB185" s="20" t="s">
        <v>1319</v>
      </c>
      <c r="AC185" s="20"/>
      <c r="AD185" s="69" t="s">
        <v>486</v>
      </c>
      <c r="AE185" s="20">
        <v>7709387224</v>
      </c>
      <c r="AF185" s="20"/>
      <c r="AG185" s="5" t="s">
        <v>1495</v>
      </c>
      <c r="AH185" s="5" t="s">
        <v>938</v>
      </c>
      <c r="AI185" s="5" t="s">
        <v>799</v>
      </c>
      <c r="AJ185" s="20" t="s">
        <v>1283</v>
      </c>
      <c r="AK185" s="20">
        <v>424305</v>
      </c>
      <c r="AL185" s="5" t="s">
        <v>1495</v>
      </c>
      <c r="AM185" s="5" t="s">
        <v>938</v>
      </c>
      <c r="AN185" s="5" t="s">
        <v>799</v>
      </c>
      <c r="AO185" s="20" t="s">
        <v>1283</v>
      </c>
      <c r="AP185" s="20">
        <v>424305</v>
      </c>
      <c r="AQ185" s="28" t="s">
        <v>840</v>
      </c>
      <c r="AR185" s="20">
        <v>20302955483</v>
      </c>
      <c r="AS185" s="20" t="s">
        <v>895</v>
      </c>
      <c r="AT185" s="22" t="s">
        <v>1369</v>
      </c>
    </row>
    <row r="186" spans="1:46" x14ac:dyDescent="0.25">
      <c r="A186" s="20">
        <v>181</v>
      </c>
      <c r="B186" s="22" t="s">
        <v>1385</v>
      </c>
      <c r="C186" s="20" t="s">
        <v>50</v>
      </c>
      <c r="D186" s="69" t="s">
        <v>1413</v>
      </c>
      <c r="E186" s="69" t="s">
        <v>429</v>
      </c>
      <c r="F186" s="69" t="s">
        <v>506</v>
      </c>
      <c r="G186" s="20" t="s">
        <v>64</v>
      </c>
      <c r="H186" s="20"/>
      <c r="I186" s="20" t="s">
        <v>1496</v>
      </c>
      <c r="J186" s="20" t="s">
        <v>1391</v>
      </c>
      <c r="K186" s="20" t="s">
        <v>67</v>
      </c>
      <c r="L186" s="20" t="s">
        <v>69</v>
      </c>
      <c r="M186" s="20" t="s">
        <v>539</v>
      </c>
      <c r="N186" s="4" t="s">
        <v>144</v>
      </c>
      <c r="O186" s="20" t="s">
        <v>542</v>
      </c>
      <c r="P186" s="20" t="s">
        <v>68</v>
      </c>
      <c r="Q186" s="23" t="s">
        <v>545</v>
      </c>
      <c r="R186" s="20" t="s">
        <v>46</v>
      </c>
      <c r="S186" s="20" t="s">
        <v>155</v>
      </c>
      <c r="T186" s="20" t="s">
        <v>43</v>
      </c>
      <c r="U186" s="20"/>
      <c r="V186" s="23">
        <v>102266960697</v>
      </c>
      <c r="W186" s="20">
        <v>2505215127</v>
      </c>
      <c r="X186" s="20" t="s">
        <v>1497</v>
      </c>
      <c r="Y186" s="70"/>
      <c r="Z186" s="38" t="s">
        <v>1523</v>
      </c>
      <c r="AA186" s="20">
        <v>9325041807</v>
      </c>
      <c r="AB186" s="20" t="s">
        <v>1319</v>
      </c>
      <c r="AC186" s="20"/>
      <c r="AD186" s="69" t="s">
        <v>429</v>
      </c>
      <c r="AE186" s="20">
        <v>9325041807</v>
      </c>
      <c r="AF186" s="20"/>
      <c r="AG186" s="5" t="s">
        <v>1421</v>
      </c>
      <c r="AH186" s="5" t="s">
        <v>1420</v>
      </c>
      <c r="AI186" s="5" t="s">
        <v>799</v>
      </c>
      <c r="AJ186" s="20" t="s">
        <v>787</v>
      </c>
      <c r="AK186" s="20">
        <v>425408</v>
      </c>
      <c r="AL186" s="5" t="s">
        <v>1421</v>
      </c>
      <c r="AM186" s="5" t="s">
        <v>1420</v>
      </c>
      <c r="AN186" s="5" t="s">
        <v>799</v>
      </c>
      <c r="AO186" s="20" t="s">
        <v>787</v>
      </c>
      <c r="AP186" s="20">
        <v>425408</v>
      </c>
      <c r="AQ186" s="28" t="s">
        <v>840</v>
      </c>
      <c r="AR186" s="20">
        <v>41649124004</v>
      </c>
      <c r="AS186" s="20" t="s">
        <v>910</v>
      </c>
      <c r="AT186" s="22" t="s">
        <v>1370</v>
      </c>
    </row>
    <row r="187" spans="1:46" x14ac:dyDescent="0.25">
      <c r="A187" s="20">
        <v>182</v>
      </c>
      <c r="B187" s="22" t="s">
        <v>1386</v>
      </c>
      <c r="C187" s="20" t="s">
        <v>50</v>
      </c>
      <c r="D187" s="69" t="s">
        <v>1414</v>
      </c>
      <c r="E187" s="69" t="s">
        <v>1149</v>
      </c>
      <c r="F187" s="69" t="s">
        <v>492</v>
      </c>
      <c r="G187" s="20" t="s">
        <v>64</v>
      </c>
      <c r="H187" s="20"/>
      <c r="I187" s="20" t="s">
        <v>1474</v>
      </c>
      <c r="J187" s="20" t="s">
        <v>1391</v>
      </c>
      <c r="K187" s="20" t="s">
        <v>67</v>
      </c>
      <c r="L187" s="20" t="s">
        <v>69</v>
      </c>
      <c r="M187" s="20" t="s">
        <v>539</v>
      </c>
      <c r="N187" s="4" t="s">
        <v>144</v>
      </c>
      <c r="O187" s="20" t="s">
        <v>542</v>
      </c>
      <c r="P187" s="20" t="s">
        <v>68</v>
      </c>
      <c r="Q187" s="23" t="s">
        <v>545</v>
      </c>
      <c r="R187" s="20" t="s">
        <v>46</v>
      </c>
      <c r="S187" s="20" t="s">
        <v>155</v>
      </c>
      <c r="T187" s="20" t="s">
        <v>43</v>
      </c>
      <c r="U187" s="20"/>
      <c r="V187" s="23"/>
      <c r="W187" s="23">
        <v>2505215139</v>
      </c>
      <c r="X187" s="20" t="s">
        <v>1499</v>
      </c>
      <c r="Y187" s="71"/>
      <c r="Z187" s="20">
        <v>767717855426</v>
      </c>
      <c r="AA187" s="20">
        <v>7558533896</v>
      </c>
      <c r="AB187" s="20" t="s">
        <v>1319</v>
      </c>
      <c r="AC187" s="20"/>
      <c r="AD187" s="69" t="s">
        <v>1149</v>
      </c>
      <c r="AE187" s="20">
        <v>7558533896</v>
      </c>
      <c r="AF187" s="20"/>
      <c r="AG187" s="5" t="s">
        <v>1500</v>
      </c>
      <c r="AH187" s="5" t="s">
        <v>1283</v>
      </c>
      <c r="AI187" s="5" t="s">
        <v>799</v>
      </c>
      <c r="AJ187" s="20" t="s">
        <v>1501</v>
      </c>
      <c r="AK187" s="20">
        <v>424310</v>
      </c>
      <c r="AL187" s="5" t="s">
        <v>1500</v>
      </c>
      <c r="AM187" s="5" t="s">
        <v>1283</v>
      </c>
      <c r="AN187" s="5" t="s">
        <v>799</v>
      </c>
      <c r="AO187" s="20" t="s">
        <v>1501</v>
      </c>
      <c r="AP187" s="20">
        <v>424310</v>
      </c>
      <c r="AQ187" s="20" t="s">
        <v>848</v>
      </c>
      <c r="AR187" s="38" t="s">
        <v>1508</v>
      </c>
      <c r="AS187" t="s">
        <v>1502</v>
      </c>
      <c r="AT187" s="72" t="s">
        <v>1371</v>
      </c>
    </row>
    <row r="188" spans="1:46" x14ac:dyDescent="0.25">
      <c r="A188" s="20">
        <v>183</v>
      </c>
      <c r="B188" s="22" t="s">
        <v>1387</v>
      </c>
      <c r="C188" s="20" t="s">
        <v>50</v>
      </c>
      <c r="D188" s="69" t="s">
        <v>388</v>
      </c>
      <c r="E188" s="69" t="s">
        <v>444</v>
      </c>
      <c r="F188" s="69" t="s">
        <v>506</v>
      </c>
      <c r="G188" s="20" t="s">
        <v>64</v>
      </c>
      <c r="H188" s="20"/>
      <c r="I188" s="20" t="s">
        <v>1469</v>
      </c>
      <c r="J188" s="20" t="s">
        <v>1392</v>
      </c>
      <c r="K188" s="20" t="s">
        <v>67</v>
      </c>
      <c r="L188" s="20" t="s">
        <v>69</v>
      </c>
      <c r="M188" s="20" t="s">
        <v>539</v>
      </c>
      <c r="N188" s="4" t="s">
        <v>144</v>
      </c>
      <c r="O188" s="20" t="s">
        <v>542</v>
      </c>
      <c r="P188" s="20" t="s">
        <v>68</v>
      </c>
      <c r="Q188" s="23" t="s">
        <v>545</v>
      </c>
      <c r="R188" s="20" t="s">
        <v>46</v>
      </c>
      <c r="S188" s="20" t="s">
        <v>155</v>
      </c>
      <c r="T188" s="20" t="s">
        <v>43</v>
      </c>
      <c r="U188" s="20"/>
      <c r="V188" s="23">
        <v>102031319042</v>
      </c>
      <c r="W188" s="23">
        <v>2505215154</v>
      </c>
      <c r="X188" s="20" t="s">
        <v>1498</v>
      </c>
      <c r="Y188" s="71"/>
      <c r="Z188" s="38" t="s">
        <v>1524</v>
      </c>
      <c r="AA188" s="20">
        <v>7066640651</v>
      </c>
      <c r="AB188" s="20" t="s">
        <v>1319</v>
      </c>
      <c r="AC188" s="20"/>
      <c r="AD188" s="69" t="s">
        <v>444</v>
      </c>
      <c r="AE188" s="20">
        <v>7066640651</v>
      </c>
      <c r="AF188" s="20"/>
      <c r="AG188" s="5" t="s">
        <v>1302</v>
      </c>
      <c r="AH188" s="5" t="s">
        <v>723</v>
      </c>
      <c r="AI188" s="5" t="s">
        <v>799</v>
      </c>
      <c r="AJ188" s="20" t="s">
        <v>786</v>
      </c>
      <c r="AK188" s="20">
        <v>424308</v>
      </c>
      <c r="AL188" s="5" t="s">
        <v>1302</v>
      </c>
      <c r="AM188" s="5" t="s">
        <v>723</v>
      </c>
      <c r="AN188" s="5" t="s">
        <v>799</v>
      </c>
      <c r="AO188" s="20" t="s">
        <v>786</v>
      </c>
      <c r="AP188" s="20">
        <v>424308</v>
      </c>
      <c r="AQ188" s="28" t="s">
        <v>839</v>
      </c>
      <c r="AR188" s="20">
        <v>80022435996</v>
      </c>
      <c r="AS188" s="20" t="s">
        <v>1449</v>
      </c>
      <c r="AT188" s="22" t="s">
        <v>1372</v>
      </c>
    </row>
    <row r="189" spans="1:46" x14ac:dyDescent="0.25">
      <c r="A189" s="20">
        <v>184</v>
      </c>
      <c r="B189" s="22" t="s">
        <v>1388</v>
      </c>
      <c r="C189" s="20" t="s">
        <v>50</v>
      </c>
      <c r="D189" s="69" t="s">
        <v>463</v>
      </c>
      <c r="E189" s="69" t="s">
        <v>1415</v>
      </c>
      <c r="F189" s="69" t="s">
        <v>489</v>
      </c>
      <c r="G189" s="20" t="s">
        <v>64</v>
      </c>
      <c r="H189" s="20"/>
      <c r="I189" s="46" t="s">
        <v>1585</v>
      </c>
      <c r="J189" s="20" t="s">
        <v>1392</v>
      </c>
      <c r="K189" s="20" t="s">
        <v>67</v>
      </c>
      <c r="L189" s="20" t="s">
        <v>69</v>
      </c>
      <c r="M189" s="20" t="s">
        <v>539</v>
      </c>
      <c r="N189" s="4" t="s">
        <v>144</v>
      </c>
      <c r="O189" s="20" t="s">
        <v>542</v>
      </c>
      <c r="P189" s="20" t="s">
        <v>68</v>
      </c>
      <c r="Q189" s="23" t="s">
        <v>545</v>
      </c>
      <c r="R189" s="20" t="s">
        <v>46</v>
      </c>
      <c r="S189" s="20" t="s">
        <v>155</v>
      </c>
      <c r="T189" s="20" t="s">
        <v>43</v>
      </c>
      <c r="U189" s="20"/>
      <c r="V189" s="23"/>
      <c r="W189" s="20">
        <v>2505219251</v>
      </c>
      <c r="X189" s="20"/>
      <c r="Y189" s="70"/>
      <c r="Z189" s="20">
        <v>211082918356</v>
      </c>
      <c r="AA189" s="20">
        <v>8380969425</v>
      </c>
      <c r="AB189" s="20" t="s">
        <v>1319</v>
      </c>
      <c r="AC189" s="20"/>
      <c r="AD189" s="69" t="s">
        <v>1415</v>
      </c>
      <c r="AE189" s="20"/>
      <c r="AF189" s="20"/>
      <c r="AG189" s="5"/>
      <c r="AH189" s="5"/>
      <c r="AI189" s="5" t="s">
        <v>799</v>
      </c>
      <c r="AJ189" s="20"/>
      <c r="AK189" s="20"/>
      <c r="AL189" s="20"/>
      <c r="AM189" s="20"/>
      <c r="AN189" s="5" t="s">
        <v>799</v>
      </c>
      <c r="AO189" s="20"/>
      <c r="AP189" s="20"/>
      <c r="AQ189" s="20" t="s">
        <v>840</v>
      </c>
      <c r="AR189" s="20">
        <v>34662788937</v>
      </c>
      <c r="AS189" s="20" t="s">
        <v>1664</v>
      </c>
      <c r="AT189" s="22" t="s">
        <v>1373</v>
      </c>
    </row>
    <row r="190" spans="1:46" x14ac:dyDescent="0.25">
      <c r="A190" s="20">
        <v>185</v>
      </c>
      <c r="B190" s="22" t="s">
        <v>1389</v>
      </c>
      <c r="C190" s="20" t="s">
        <v>50</v>
      </c>
      <c r="D190" s="69" t="s">
        <v>1416</v>
      </c>
      <c r="E190" s="69" t="s">
        <v>1417</v>
      </c>
      <c r="F190" s="69" t="s">
        <v>1151</v>
      </c>
      <c r="G190" s="20" t="s">
        <v>64</v>
      </c>
      <c r="H190" s="20"/>
      <c r="I190" s="46" t="s">
        <v>1586</v>
      </c>
      <c r="J190" s="20" t="s">
        <v>1392</v>
      </c>
      <c r="K190" s="20" t="s">
        <v>67</v>
      </c>
      <c r="L190" s="20" t="s">
        <v>69</v>
      </c>
      <c r="M190" s="20" t="s">
        <v>539</v>
      </c>
      <c r="N190" s="4" t="s">
        <v>144</v>
      </c>
      <c r="O190" s="20" t="s">
        <v>542</v>
      </c>
      <c r="P190" s="20" t="s">
        <v>68</v>
      </c>
      <c r="Q190" s="23" t="s">
        <v>545</v>
      </c>
      <c r="R190" s="20" t="s">
        <v>46</v>
      </c>
      <c r="S190" s="20" t="s">
        <v>155</v>
      </c>
      <c r="T190" s="20" t="s">
        <v>43</v>
      </c>
      <c r="U190" s="20"/>
      <c r="V190" s="23"/>
      <c r="W190" s="20">
        <v>2505219276</v>
      </c>
      <c r="X190" s="20"/>
      <c r="Y190" s="70"/>
      <c r="Z190" s="20" t="s">
        <v>1560</v>
      </c>
      <c r="AA190" s="20">
        <v>8830152699</v>
      </c>
      <c r="AB190" s="20" t="s">
        <v>1319</v>
      </c>
      <c r="AC190" s="20"/>
      <c r="AD190" s="69" t="s">
        <v>1417</v>
      </c>
      <c r="AE190" s="20"/>
      <c r="AF190" s="20"/>
      <c r="AG190" s="5"/>
      <c r="AH190" s="5"/>
      <c r="AI190" s="5" t="s">
        <v>799</v>
      </c>
      <c r="AJ190" s="20"/>
      <c r="AK190" s="20"/>
      <c r="AL190" s="20"/>
      <c r="AM190" s="20"/>
      <c r="AN190" s="5" t="s">
        <v>799</v>
      </c>
      <c r="AO190" s="20"/>
      <c r="AP190" s="20"/>
      <c r="AQ190" s="20" t="s">
        <v>982</v>
      </c>
      <c r="AR190" s="20" t="s">
        <v>1659</v>
      </c>
      <c r="AS190" s="20" t="s">
        <v>1665</v>
      </c>
      <c r="AT190" s="22" t="s">
        <v>1374</v>
      </c>
    </row>
    <row r="191" spans="1:46" x14ac:dyDescent="0.25">
      <c r="A191" s="20">
        <v>186</v>
      </c>
      <c r="B191" s="22" t="s">
        <v>1526</v>
      </c>
      <c r="C191" s="20" t="s">
        <v>50</v>
      </c>
      <c r="D191" s="69" t="s">
        <v>1528</v>
      </c>
      <c r="E191" s="69" t="s">
        <v>1529</v>
      </c>
      <c r="F191" s="69" t="s">
        <v>496</v>
      </c>
      <c r="G191" s="20" t="s">
        <v>64</v>
      </c>
      <c r="H191" s="20"/>
      <c r="I191" s="46" t="s">
        <v>1587</v>
      </c>
      <c r="J191" s="20"/>
      <c r="K191" s="20" t="s">
        <v>67</v>
      </c>
      <c r="L191" s="20" t="s">
        <v>69</v>
      </c>
      <c r="M191" s="20" t="s">
        <v>539</v>
      </c>
      <c r="N191" s="4" t="s">
        <v>1599</v>
      </c>
      <c r="O191" s="20" t="s">
        <v>542</v>
      </c>
      <c r="P191" s="20" t="s">
        <v>1600</v>
      </c>
      <c r="Q191" s="23" t="s">
        <v>545</v>
      </c>
      <c r="R191" s="20" t="s">
        <v>1601</v>
      </c>
      <c r="S191" s="20" t="s">
        <v>1602</v>
      </c>
      <c r="T191" s="20" t="s">
        <v>1603</v>
      </c>
      <c r="U191" s="20"/>
      <c r="V191" s="23"/>
      <c r="W191" s="20">
        <v>2505219286</v>
      </c>
      <c r="X191" s="20"/>
      <c r="Y191" s="70"/>
      <c r="Z191" s="20">
        <v>850102948500</v>
      </c>
      <c r="AA191" s="20">
        <v>9579694564</v>
      </c>
      <c r="AB191" s="20"/>
      <c r="AC191" s="20"/>
      <c r="AD191" s="69"/>
      <c r="AE191" s="20"/>
      <c r="AF191" s="20"/>
      <c r="AG191" s="5"/>
      <c r="AH191" s="5"/>
      <c r="AI191" s="5"/>
      <c r="AJ191" s="20"/>
      <c r="AK191" s="20"/>
      <c r="AL191" s="20"/>
      <c r="AM191" s="20"/>
      <c r="AN191" s="5"/>
      <c r="AO191" s="20"/>
      <c r="AP191" s="20"/>
      <c r="AQ191" s="20" t="s">
        <v>842</v>
      </c>
      <c r="AR191" s="20">
        <v>345902120016695</v>
      </c>
      <c r="AS191" s="20" t="s">
        <v>900</v>
      </c>
      <c r="AT191" s="22" t="s">
        <v>1668</v>
      </c>
    </row>
    <row r="192" spans="1:46" x14ac:dyDescent="0.25">
      <c r="A192" s="20">
        <v>187</v>
      </c>
      <c r="B192" s="22" t="s">
        <v>1527</v>
      </c>
      <c r="C192" s="20" t="s">
        <v>50</v>
      </c>
      <c r="D192" s="69" t="s">
        <v>1530</v>
      </c>
      <c r="E192" s="69" t="s">
        <v>1531</v>
      </c>
      <c r="F192" s="69" t="s">
        <v>502</v>
      </c>
      <c r="G192" s="20" t="s">
        <v>64</v>
      </c>
      <c r="H192" s="20"/>
      <c r="I192" s="46" t="s">
        <v>1588</v>
      </c>
      <c r="J192" s="20"/>
      <c r="K192" s="20" t="s">
        <v>67</v>
      </c>
      <c r="L192" s="20" t="s">
        <v>69</v>
      </c>
      <c r="M192" s="20" t="s">
        <v>539</v>
      </c>
      <c r="N192" s="4" t="s">
        <v>1604</v>
      </c>
      <c r="O192" s="20" t="s">
        <v>542</v>
      </c>
      <c r="P192" s="20" t="s">
        <v>1605</v>
      </c>
      <c r="Q192" s="23" t="s">
        <v>545</v>
      </c>
      <c r="R192" s="20" t="s">
        <v>1606</v>
      </c>
      <c r="S192" s="20" t="s">
        <v>1607</v>
      </c>
      <c r="T192" s="20" t="s">
        <v>1608</v>
      </c>
      <c r="U192" s="20"/>
      <c r="V192" s="23" t="s">
        <v>1552</v>
      </c>
      <c r="W192" s="20">
        <v>3516729253</v>
      </c>
      <c r="X192" s="20"/>
      <c r="Y192" s="70"/>
      <c r="Z192" s="20">
        <v>727611411248</v>
      </c>
      <c r="AA192" s="20"/>
      <c r="AB192" s="20"/>
      <c r="AC192" s="20"/>
      <c r="AD192" s="69"/>
      <c r="AE192" s="20"/>
      <c r="AF192" s="20"/>
      <c r="AG192" s="5"/>
      <c r="AH192" s="5"/>
      <c r="AI192" s="5"/>
      <c r="AJ192" s="20"/>
      <c r="AK192" s="20"/>
      <c r="AL192" s="20"/>
      <c r="AM192" s="20"/>
      <c r="AN192" s="5"/>
      <c r="AO192" s="20"/>
      <c r="AP192" s="20"/>
      <c r="AQ192" s="20" t="s">
        <v>847</v>
      </c>
      <c r="AR192" s="20" t="s">
        <v>1660</v>
      </c>
      <c r="AS192" s="20" t="s">
        <v>1666</v>
      </c>
      <c r="AT192" s="22" t="s">
        <v>1669</v>
      </c>
    </row>
    <row r="193" spans="1:46" x14ac:dyDescent="0.25">
      <c r="A193" s="20">
        <v>188</v>
      </c>
      <c r="B193" s="22" t="s">
        <v>1532</v>
      </c>
      <c r="C193" s="20" t="s">
        <v>50</v>
      </c>
      <c r="D193" s="69" t="s">
        <v>1561</v>
      </c>
      <c r="E193" s="69" t="s">
        <v>455</v>
      </c>
      <c r="F193" s="69" t="s">
        <v>1562</v>
      </c>
      <c r="G193" s="20" t="s">
        <v>64</v>
      </c>
      <c r="H193" s="20"/>
      <c r="I193" s="46" t="s">
        <v>1589</v>
      </c>
      <c r="J193" s="20"/>
      <c r="K193" s="20" t="s">
        <v>67</v>
      </c>
      <c r="L193" s="20" t="s">
        <v>69</v>
      </c>
      <c r="M193" s="20" t="s">
        <v>539</v>
      </c>
      <c r="N193" s="4" t="s">
        <v>1609</v>
      </c>
      <c r="O193" s="20" t="s">
        <v>542</v>
      </c>
      <c r="P193" s="20" t="s">
        <v>1610</v>
      </c>
      <c r="Q193" s="23" t="s">
        <v>545</v>
      </c>
      <c r="R193" s="20" t="s">
        <v>1611</v>
      </c>
      <c r="S193" s="20" t="s">
        <v>1612</v>
      </c>
      <c r="T193" s="20" t="s">
        <v>1613</v>
      </c>
      <c r="U193" s="20"/>
      <c r="V193" s="23" t="s">
        <v>1553</v>
      </c>
      <c r="W193" s="20">
        <v>2505240409</v>
      </c>
      <c r="X193" s="20"/>
      <c r="Y193" s="70"/>
      <c r="Z193" s="20">
        <v>916697689051</v>
      </c>
      <c r="AA193" s="20">
        <v>8356010398</v>
      </c>
      <c r="AB193" s="20"/>
      <c r="AC193" s="20"/>
      <c r="AD193" s="69"/>
      <c r="AE193" s="20"/>
      <c r="AF193" s="20"/>
      <c r="AG193" s="5"/>
      <c r="AH193" s="5"/>
      <c r="AI193" s="5"/>
      <c r="AJ193" s="20"/>
      <c r="AK193" s="20"/>
      <c r="AL193" s="20"/>
      <c r="AM193" s="20"/>
      <c r="AN193" s="5"/>
      <c r="AO193" s="20"/>
      <c r="AP193" s="20"/>
      <c r="AQ193" s="20" t="s">
        <v>839</v>
      </c>
      <c r="AR193" s="20" t="s">
        <v>1661</v>
      </c>
      <c r="AS193" s="20" t="s">
        <v>894</v>
      </c>
      <c r="AT193" s="22" t="s">
        <v>1533</v>
      </c>
    </row>
    <row r="194" spans="1:46" x14ac:dyDescent="0.25">
      <c r="A194" s="20">
        <v>189</v>
      </c>
      <c r="B194" s="22" t="s">
        <v>1534</v>
      </c>
      <c r="C194" s="20" t="s">
        <v>50</v>
      </c>
      <c r="D194" s="69" t="s">
        <v>1136</v>
      </c>
      <c r="E194" s="69" t="s">
        <v>1564</v>
      </c>
      <c r="F194" s="69" t="s">
        <v>1563</v>
      </c>
      <c r="G194" s="20" t="s">
        <v>64</v>
      </c>
      <c r="H194" s="20"/>
      <c r="I194" s="46" t="s">
        <v>1590</v>
      </c>
      <c r="J194" s="20"/>
      <c r="K194" s="20" t="s">
        <v>67</v>
      </c>
      <c r="L194" s="20" t="s">
        <v>69</v>
      </c>
      <c r="M194" s="20" t="s">
        <v>539</v>
      </c>
      <c r="N194" s="4" t="s">
        <v>1614</v>
      </c>
      <c r="O194" s="20" t="s">
        <v>542</v>
      </c>
      <c r="P194" s="20" t="s">
        <v>1615</v>
      </c>
      <c r="Q194" s="23" t="s">
        <v>545</v>
      </c>
      <c r="R194" s="20" t="s">
        <v>1616</v>
      </c>
      <c r="S194" s="20" t="s">
        <v>1617</v>
      </c>
      <c r="T194" s="20" t="s">
        <v>1618</v>
      </c>
      <c r="U194" s="20"/>
      <c r="V194" s="23" t="s">
        <v>1554</v>
      </c>
      <c r="W194" s="20"/>
      <c r="X194" s="20"/>
      <c r="Y194" s="70"/>
      <c r="Z194" s="20">
        <v>346490656043</v>
      </c>
      <c r="AA194" s="20">
        <v>9545172504</v>
      </c>
      <c r="AB194" s="20"/>
      <c r="AC194" s="20"/>
      <c r="AD194" s="69"/>
      <c r="AE194" s="20"/>
      <c r="AF194" s="20"/>
      <c r="AG194" s="5"/>
      <c r="AH194" s="5"/>
      <c r="AI194" s="5"/>
      <c r="AJ194" s="20"/>
      <c r="AK194" s="20"/>
      <c r="AL194" s="20"/>
      <c r="AM194" s="20"/>
      <c r="AN194" s="5"/>
      <c r="AO194" s="20"/>
      <c r="AP194" s="20"/>
      <c r="AQ194" s="20" t="s">
        <v>839</v>
      </c>
      <c r="AR194" s="20" t="s">
        <v>1662</v>
      </c>
      <c r="AS194" s="20" t="s">
        <v>894</v>
      </c>
      <c r="AT194" s="22" t="s">
        <v>1535</v>
      </c>
    </row>
    <row r="195" spans="1:46" x14ac:dyDescent="0.25">
      <c r="A195" s="20">
        <v>190</v>
      </c>
      <c r="B195" s="22" t="s">
        <v>1536</v>
      </c>
      <c r="C195" s="20" t="s">
        <v>50</v>
      </c>
      <c r="D195" s="69" t="s">
        <v>1565</v>
      </c>
      <c r="E195" s="69" t="s">
        <v>1566</v>
      </c>
      <c r="F195" s="69" t="s">
        <v>1567</v>
      </c>
      <c r="G195" s="20" t="s">
        <v>64</v>
      </c>
      <c r="H195" s="20"/>
      <c r="I195" s="46" t="s">
        <v>1591</v>
      </c>
      <c r="J195" s="20"/>
      <c r="K195" s="20" t="s">
        <v>67</v>
      </c>
      <c r="L195" s="20" t="s">
        <v>69</v>
      </c>
      <c r="M195" s="20" t="s">
        <v>541</v>
      </c>
      <c r="N195" s="4" t="s">
        <v>1619</v>
      </c>
      <c r="O195" s="20" t="s">
        <v>542</v>
      </c>
      <c r="P195" s="20" t="s">
        <v>1620</v>
      </c>
      <c r="Q195" s="23" t="s">
        <v>545</v>
      </c>
      <c r="R195" s="20" t="s">
        <v>1621</v>
      </c>
      <c r="S195" s="20" t="s">
        <v>1622</v>
      </c>
      <c r="T195" s="20" t="s">
        <v>1623</v>
      </c>
      <c r="U195" s="20"/>
      <c r="V195" s="23" t="s">
        <v>1555</v>
      </c>
      <c r="W195" s="20">
        <v>2505240388</v>
      </c>
      <c r="X195" s="20"/>
      <c r="Y195" s="70"/>
      <c r="Z195" s="20">
        <v>351197446782</v>
      </c>
      <c r="AA195" s="20"/>
      <c r="AB195" s="20"/>
      <c r="AC195" s="20"/>
      <c r="AD195" s="69"/>
      <c r="AE195" s="20"/>
      <c r="AF195" s="20"/>
      <c r="AG195" s="5"/>
      <c r="AH195" s="5"/>
      <c r="AI195" s="5"/>
      <c r="AJ195" s="20"/>
      <c r="AK195" s="20"/>
      <c r="AL195" s="20"/>
      <c r="AM195" s="20"/>
      <c r="AN195" s="5"/>
      <c r="AO195" s="20"/>
      <c r="AP195" s="20"/>
      <c r="AQ195" s="20" t="s">
        <v>840</v>
      </c>
      <c r="AR195" s="20">
        <v>39131471348</v>
      </c>
      <c r="AS195" s="20" t="s">
        <v>1667</v>
      </c>
      <c r="AT195" s="22" t="s">
        <v>1537</v>
      </c>
    </row>
    <row r="196" spans="1:46" x14ac:dyDescent="0.25">
      <c r="A196" s="20">
        <v>191</v>
      </c>
      <c r="B196" s="22" t="s">
        <v>1538</v>
      </c>
      <c r="C196" s="20" t="s">
        <v>50</v>
      </c>
      <c r="D196" s="69" t="s">
        <v>1568</v>
      </c>
      <c r="E196" s="69" t="s">
        <v>1569</v>
      </c>
      <c r="F196" s="69" t="s">
        <v>826</v>
      </c>
      <c r="G196" s="20" t="s">
        <v>64</v>
      </c>
      <c r="H196" s="20"/>
      <c r="I196" s="46" t="s">
        <v>1592</v>
      </c>
      <c r="J196" s="20"/>
      <c r="K196" s="20" t="s">
        <v>67</v>
      </c>
      <c r="L196" s="20" t="s">
        <v>69</v>
      </c>
      <c r="M196" s="20" t="s">
        <v>539</v>
      </c>
      <c r="N196" s="4" t="s">
        <v>1624</v>
      </c>
      <c r="O196" s="20" t="s">
        <v>542</v>
      </c>
      <c r="P196" s="20" t="s">
        <v>1625</v>
      </c>
      <c r="Q196" s="23" t="s">
        <v>545</v>
      </c>
      <c r="R196" s="20" t="s">
        <v>1626</v>
      </c>
      <c r="S196" s="20" t="s">
        <v>1627</v>
      </c>
      <c r="T196" s="20" t="s">
        <v>1628</v>
      </c>
      <c r="U196" s="20"/>
      <c r="V196" s="23" t="s">
        <v>1556</v>
      </c>
      <c r="W196" s="20">
        <v>2505240378</v>
      </c>
      <c r="X196" s="20"/>
      <c r="Y196" s="70"/>
      <c r="Z196" s="20">
        <v>802410094228</v>
      </c>
      <c r="AA196" s="20">
        <v>9503641204</v>
      </c>
      <c r="AB196" s="20"/>
      <c r="AC196" s="20"/>
      <c r="AD196" s="69"/>
      <c r="AE196" s="20"/>
      <c r="AF196" s="20"/>
      <c r="AG196" s="5"/>
      <c r="AH196" s="5"/>
      <c r="AI196" s="5"/>
      <c r="AJ196" s="20"/>
      <c r="AK196" s="20"/>
      <c r="AL196" s="20"/>
      <c r="AM196" s="20"/>
      <c r="AN196" s="5"/>
      <c r="AO196" s="20"/>
      <c r="AP196" s="20"/>
      <c r="AQ196" s="20" t="s">
        <v>1663</v>
      </c>
      <c r="AR196" s="20">
        <v>21002100001907</v>
      </c>
      <c r="AS196" s="20" t="s">
        <v>925</v>
      </c>
      <c r="AT196" s="22" t="s">
        <v>1539</v>
      </c>
    </row>
    <row r="197" spans="1:46" x14ac:dyDescent="0.25">
      <c r="A197" s="20">
        <v>192</v>
      </c>
      <c r="B197" s="22" t="s">
        <v>1540</v>
      </c>
      <c r="C197" s="20" t="s">
        <v>50</v>
      </c>
      <c r="D197" s="69" t="s">
        <v>814</v>
      </c>
      <c r="E197" s="69" t="s">
        <v>1570</v>
      </c>
      <c r="F197" s="69" t="s">
        <v>1571</v>
      </c>
      <c r="G197" s="20" t="s">
        <v>64</v>
      </c>
      <c r="H197" s="20"/>
      <c r="I197" s="46" t="s">
        <v>1593</v>
      </c>
      <c r="J197" s="20"/>
      <c r="K197" s="20" t="s">
        <v>67</v>
      </c>
      <c r="L197" s="20" t="s">
        <v>69</v>
      </c>
      <c r="M197" s="20" t="s">
        <v>539</v>
      </c>
      <c r="N197" s="4" t="s">
        <v>1629</v>
      </c>
      <c r="O197" s="20" t="s">
        <v>542</v>
      </c>
      <c r="P197" s="20" t="s">
        <v>1630</v>
      </c>
      <c r="Q197" s="23" t="s">
        <v>545</v>
      </c>
      <c r="R197" s="20" t="s">
        <v>1631</v>
      </c>
      <c r="S197" s="20" t="s">
        <v>1632</v>
      </c>
      <c r="T197" s="20" t="s">
        <v>1633</v>
      </c>
      <c r="U197" s="20"/>
      <c r="V197" s="23" t="s">
        <v>1557</v>
      </c>
      <c r="W197" s="20">
        <v>3317442128</v>
      </c>
      <c r="X197" s="20"/>
      <c r="Y197" s="70"/>
      <c r="Z197" s="20">
        <v>679958177732</v>
      </c>
      <c r="AA197" s="20">
        <v>9307738929</v>
      </c>
      <c r="AB197" s="20"/>
      <c r="AC197" s="20"/>
      <c r="AD197" s="69"/>
      <c r="AE197" s="20"/>
      <c r="AF197" s="20"/>
      <c r="AG197" s="5"/>
      <c r="AH197" s="5"/>
      <c r="AI197" s="5"/>
      <c r="AJ197" s="20"/>
      <c r="AK197" s="20"/>
      <c r="AL197" s="20"/>
      <c r="AM197" s="20"/>
      <c r="AN197" s="5"/>
      <c r="AO197" s="20"/>
      <c r="AP197" s="20"/>
      <c r="AQ197" s="20" t="s">
        <v>839</v>
      </c>
      <c r="AR197" s="20">
        <v>80032467245</v>
      </c>
      <c r="AS197" s="20" t="s">
        <v>894</v>
      </c>
      <c r="AT197" s="22" t="s">
        <v>1541</v>
      </c>
    </row>
    <row r="198" spans="1:46" x14ac:dyDescent="0.25">
      <c r="A198" s="20">
        <v>193</v>
      </c>
      <c r="B198" s="22" t="s">
        <v>1542</v>
      </c>
      <c r="C198" s="20" t="s">
        <v>50</v>
      </c>
      <c r="D198" s="69" t="s">
        <v>1572</v>
      </c>
      <c r="E198" s="69" t="s">
        <v>1573</v>
      </c>
      <c r="F198" s="69" t="s">
        <v>1574</v>
      </c>
      <c r="G198" s="20" t="s">
        <v>64</v>
      </c>
      <c r="H198" s="20"/>
      <c r="I198" s="46" t="s">
        <v>1594</v>
      </c>
      <c r="J198" s="20"/>
      <c r="K198" s="20" t="s">
        <v>67</v>
      </c>
      <c r="L198" s="20" t="s">
        <v>69</v>
      </c>
      <c r="M198" s="20" t="s">
        <v>539</v>
      </c>
      <c r="N198" s="4" t="s">
        <v>1634</v>
      </c>
      <c r="O198" s="20" t="s">
        <v>542</v>
      </c>
      <c r="P198" s="20" t="s">
        <v>1635</v>
      </c>
      <c r="Q198" s="23" t="s">
        <v>545</v>
      </c>
      <c r="R198" s="20" t="s">
        <v>1636</v>
      </c>
      <c r="S198" s="20" t="s">
        <v>1637</v>
      </c>
      <c r="T198" s="20" t="s">
        <v>1638</v>
      </c>
      <c r="U198" s="20"/>
      <c r="V198" s="23" t="s">
        <v>1558</v>
      </c>
      <c r="W198" s="20">
        <v>2505240396</v>
      </c>
      <c r="X198" s="20"/>
      <c r="Y198" s="70"/>
      <c r="Z198" s="20">
        <v>895476430371</v>
      </c>
      <c r="AA198" s="20">
        <v>7823878355</v>
      </c>
      <c r="AB198" s="20"/>
      <c r="AC198" s="20"/>
      <c r="AD198" s="69"/>
      <c r="AE198" s="20"/>
      <c r="AF198" s="20"/>
      <c r="AG198" s="5"/>
      <c r="AH198" s="5"/>
      <c r="AI198" s="5"/>
      <c r="AJ198" s="20"/>
      <c r="AK198" s="20"/>
      <c r="AL198" s="20"/>
      <c r="AM198" s="20"/>
      <c r="AN198" s="5"/>
      <c r="AO198" s="20"/>
      <c r="AP198" s="20"/>
      <c r="AQ198" s="20" t="s">
        <v>840</v>
      </c>
      <c r="AR198" s="20">
        <v>35147310529</v>
      </c>
      <c r="AS198" s="20" t="s">
        <v>895</v>
      </c>
      <c r="AT198" s="22" t="s">
        <v>1543</v>
      </c>
    </row>
    <row r="199" spans="1:46" x14ac:dyDescent="0.25">
      <c r="A199" s="20">
        <v>194</v>
      </c>
      <c r="B199" s="22" t="s">
        <v>1544</v>
      </c>
      <c r="C199" s="20" t="s">
        <v>50</v>
      </c>
      <c r="D199" s="69" t="s">
        <v>1575</v>
      </c>
      <c r="E199" s="69" t="s">
        <v>1576</v>
      </c>
      <c r="F199" s="69" t="s">
        <v>488</v>
      </c>
      <c r="G199" s="20" t="s">
        <v>64</v>
      </c>
      <c r="H199" s="20"/>
      <c r="I199" s="46" t="s">
        <v>1595</v>
      </c>
      <c r="J199" s="20"/>
      <c r="K199" s="20" t="s">
        <v>67</v>
      </c>
      <c r="L199" s="20" t="s">
        <v>69</v>
      </c>
      <c r="M199" s="20" t="s">
        <v>541</v>
      </c>
      <c r="N199" s="4" t="s">
        <v>1639</v>
      </c>
      <c r="O199" s="20" t="s">
        <v>542</v>
      </c>
      <c r="P199" s="20" t="s">
        <v>1640</v>
      </c>
      <c r="Q199" s="23" t="s">
        <v>545</v>
      </c>
      <c r="R199" s="20" t="s">
        <v>1641</v>
      </c>
      <c r="S199" s="20" t="s">
        <v>1642</v>
      </c>
      <c r="T199" s="20" t="s">
        <v>1643</v>
      </c>
      <c r="U199" s="20"/>
      <c r="V199" s="23"/>
      <c r="W199" s="20">
        <v>2505240402</v>
      </c>
      <c r="X199" s="20"/>
      <c r="Y199" s="70"/>
      <c r="Z199" s="20">
        <v>861445139077</v>
      </c>
      <c r="AA199" s="20">
        <v>9158010589</v>
      </c>
      <c r="AB199" s="20"/>
      <c r="AC199" s="20"/>
      <c r="AD199" s="69"/>
      <c r="AE199" s="20"/>
      <c r="AF199" s="20"/>
      <c r="AG199" s="5"/>
      <c r="AH199" s="5"/>
      <c r="AI199" s="5"/>
      <c r="AJ199" s="20"/>
      <c r="AK199" s="20"/>
      <c r="AL199" s="20"/>
      <c r="AM199" s="20"/>
      <c r="AN199" s="5"/>
      <c r="AO199" s="20"/>
      <c r="AP199" s="20"/>
      <c r="AQ199" s="20" t="s">
        <v>844</v>
      </c>
      <c r="AR199" s="20">
        <v>50100336932200</v>
      </c>
      <c r="AS199" s="20" t="s">
        <v>918</v>
      </c>
      <c r="AT199" s="22" t="s">
        <v>1545</v>
      </c>
    </row>
    <row r="200" spans="1:46" x14ac:dyDescent="0.25">
      <c r="A200" s="20">
        <v>195</v>
      </c>
      <c r="B200" s="22" t="s">
        <v>1546</v>
      </c>
      <c r="C200" s="20" t="s">
        <v>50</v>
      </c>
      <c r="D200" s="69" t="s">
        <v>1577</v>
      </c>
      <c r="E200" s="69" t="s">
        <v>1578</v>
      </c>
      <c r="F200" s="69" t="s">
        <v>1579</v>
      </c>
      <c r="G200" s="20" t="s">
        <v>64</v>
      </c>
      <c r="H200" s="20"/>
      <c r="I200" s="46" t="s">
        <v>1596</v>
      </c>
      <c r="J200" s="20"/>
      <c r="K200" s="20" t="s">
        <v>67</v>
      </c>
      <c r="L200" s="20" t="s">
        <v>69</v>
      </c>
      <c r="M200" s="20" t="s">
        <v>539</v>
      </c>
      <c r="N200" s="4" t="s">
        <v>1644</v>
      </c>
      <c r="O200" s="20" t="s">
        <v>542</v>
      </c>
      <c r="P200" s="20" t="s">
        <v>1645</v>
      </c>
      <c r="Q200" s="23" t="s">
        <v>545</v>
      </c>
      <c r="R200" s="20" t="s">
        <v>1646</v>
      </c>
      <c r="S200" s="20" t="s">
        <v>1647</v>
      </c>
      <c r="T200" s="20" t="s">
        <v>1648</v>
      </c>
      <c r="U200" s="20"/>
      <c r="V200" s="23"/>
      <c r="W200" s="20">
        <v>2505240412</v>
      </c>
      <c r="X200" s="20"/>
      <c r="Y200" s="70"/>
      <c r="Z200" s="20">
        <v>936853143312</v>
      </c>
      <c r="AA200" s="20">
        <v>9307071856</v>
      </c>
      <c r="AB200" s="20"/>
      <c r="AC200" s="20"/>
      <c r="AD200" s="69"/>
      <c r="AE200" s="20"/>
      <c r="AF200" s="20"/>
      <c r="AG200" s="5"/>
      <c r="AH200" s="5"/>
      <c r="AI200" s="5"/>
      <c r="AJ200" s="20"/>
      <c r="AK200" s="20"/>
      <c r="AL200" s="20"/>
      <c r="AM200" s="20"/>
      <c r="AN200" s="5"/>
      <c r="AO200" s="20"/>
      <c r="AP200" s="20"/>
      <c r="AQ200" s="20" t="s">
        <v>841</v>
      </c>
      <c r="AR200" s="20">
        <v>3710994549</v>
      </c>
      <c r="AS200" s="20" t="s">
        <v>897</v>
      </c>
      <c r="AT200" s="22" t="s">
        <v>1547</v>
      </c>
    </row>
    <row r="201" spans="1:46" x14ac:dyDescent="0.25">
      <c r="A201" s="20">
        <v>196</v>
      </c>
      <c r="B201" s="22" t="s">
        <v>1548</v>
      </c>
      <c r="C201" s="20" t="s">
        <v>50</v>
      </c>
      <c r="D201" s="69" t="s">
        <v>1580</v>
      </c>
      <c r="E201" s="69" t="s">
        <v>1581</v>
      </c>
      <c r="F201" s="69" t="s">
        <v>1582</v>
      </c>
      <c r="G201" s="20" t="s">
        <v>64</v>
      </c>
      <c r="H201" s="20"/>
      <c r="I201" s="46" t="s">
        <v>1597</v>
      </c>
      <c r="J201" s="20"/>
      <c r="K201" s="20" t="s">
        <v>67</v>
      </c>
      <c r="L201" s="20" t="s">
        <v>69</v>
      </c>
      <c r="M201" s="20" t="s">
        <v>539</v>
      </c>
      <c r="N201" s="4" t="s">
        <v>1649</v>
      </c>
      <c r="O201" s="20" t="s">
        <v>542</v>
      </c>
      <c r="P201" s="20" t="s">
        <v>1650</v>
      </c>
      <c r="Q201" s="23" t="s">
        <v>545</v>
      </c>
      <c r="R201" s="20" t="s">
        <v>1651</v>
      </c>
      <c r="S201" s="20" t="s">
        <v>1652</v>
      </c>
      <c r="T201" s="20" t="s">
        <v>1653</v>
      </c>
      <c r="U201" s="20"/>
      <c r="V201" s="23"/>
      <c r="W201" s="20">
        <v>2505240381</v>
      </c>
      <c r="X201" s="20"/>
      <c r="Y201" s="70"/>
      <c r="Z201" s="20">
        <v>444253903638</v>
      </c>
      <c r="AA201" s="20">
        <v>7666361923</v>
      </c>
      <c r="AB201" s="20"/>
      <c r="AC201" s="20"/>
      <c r="AD201" s="69"/>
      <c r="AE201" s="20"/>
      <c r="AF201" s="20"/>
      <c r="AG201" s="5"/>
      <c r="AH201" s="5"/>
      <c r="AI201" s="5"/>
      <c r="AJ201" s="20"/>
      <c r="AK201" s="20"/>
      <c r="AL201" s="20"/>
      <c r="AM201" s="20"/>
      <c r="AN201" s="5"/>
      <c r="AO201" s="20"/>
      <c r="AP201" s="20"/>
      <c r="AQ201" s="20" t="s">
        <v>839</v>
      </c>
      <c r="AR201" s="20">
        <v>80041586409</v>
      </c>
      <c r="AS201" s="20" t="s">
        <v>894</v>
      </c>
      <c r="AT201" s="22" t="s">
        <v>1549</v>
      </c>
    </row>
    <row r="202" spans="1:46" x14ac:dyDescent="0.25">
      <c r="A202" s="20">
        <v>197</v>
      </c>
      <c r="B202" s="22" t="s">
        <v>1550</v>
      </c>
      <c r="C202" s="20" t="s">
        <v>50</v>
      </c>
      <c r="D202" s="69" t="s">
        <v>1583</v>
      </c>
      <c r="E202" s="69" t="s">
        <v>1584</v>
      </c>
      <c r="F202" s="69" t="s">
        <v>502</v>
      </c>
      <c r="G202" s="20" t="s">
        <v>64</v>
      </c>
      <c r="H202" s="20"/>
      <c r="I202" s="46" t="s">
        <v>1598</v>
      </c>
      <c r="J202" s="20"/>
      <c r="K202" s="20" t="s">
        <v>67</v>
      </c>
      <c r="L202" s="20" t="s">
        <v>69</v>
      </c>
      <c r="M202" s="20" t="s">
        <v>541</v>
      </c>
      <c r="N202" s="4" t="s">
        <v>1654</v>
      </c>
      <c r="O202" s="20" t="s">
        <v>542</v>
      </c>
      <c r="P202" s="20" t="s">
        <v>1655</v>
      </c>
      <c r="Q202" s="23" t="s">
        <v>545</v>
      </c>
      <c r="R202" s="20" t="s">
        <v>1656</v>
      </c>
      <c r="S202" s="20" t="s">
        <v>1657</v>
      </c>
      <c r="T202" s="20" t="s">
        <v>1658</v>
      </c>
      <c r="U202" s="20"/>
      <c r="V202" s="23"/>
      <c r="W202" s="20" t="s">
        <v>1559</v>
      </c>
      <c r="X202" s="20"/>
      <c r="Y202" s="70"/>
      <c r="Z202" s="20">
        <v>639861521592</v>
      </c>
      <c r="AA202" s="20"/>
      <c r="AB202" s="20"/>
      <c r="AC202" s="20"/>
      <c r="AD202" s="69"/>
      <c r="AE202" s="20"/>
      <c r="AF202" s="20"/>
      <c r="AG202" s="5"/>
      <c r="AH202" s="5"/>
      <c r="AI202" s="5"/>
      <c r="AJ202" s="20"/>
      <c r="AK202" s="20"/>
      <c r="AL202" s="20"/>
      <c r="AM202" s="20"/>
      <c r="AN202" s="5"/>
      <c r="AO202" s="20"/>
      <c r="AP202" s="20"/>
      <c r="AQ202" s="20" t="s">
        <v>840</v>
      </c>
      <c r="AR202" s="20">
        <v>33440380609</v>
      </c>
      <c r="AS202" s="20" t="s">
        <v>905</v>
      </c>
      <c r="AT202" s="22" t="s">
        <v>1551</v>
      </c>
    </row>
    <row r="203" spans="1:46" x14ac:dyDescent="0.25">
      <c r="A203" s="11"/>
      <c r="B203" s="51" t="s">
        <v>1082</v>
      </c>
      <c r="C203" s="11"/>
      <c r="D203" s="51"/>
      <c r="E203" s="51"/>
      <c r="F203" s="5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9"/>
      <c r="R203" s="11"/>
      <c r="S203" s="11"/>
      <c r="T203" s="11"/>
      <c r="U203" s="11"/>
      <c r="V203" s="9"/>
      <c r="W203" s="11"/>
      <c r="X203" s="11"/>
      <c r="Y203" s="52"/>
      <c r="Z203" s="11"/>
      <c r="AA203" s="11"/>
      <c r="AB203" s="11"/>
      <c r="AC203" s="11"/>
      <c r="AD203" s="11"/>
      <c r="AE203" s="11"/>
      <c r="AF203" s="11"/>
      <c r="AG203" s="73"/>
      <c r="AH203" s="73"/>
      <c r="AI203" s="73"/>
      <c r="AJ203" s="11"/>
      <c r="AK203" s="11"/>
      <c r="AM203" s="11"/>
      <c r="AN203" s="11"/>
      <c r="AO203" s="11"/>
      <c r="AP203" s="11"/>
      <c r="AQ203" s="11"/>
      <c r="AR203" s="11"/>
      <c r="AS203" s="11"/>
    </row>
    <row r="204" spans="1:46" x14ac:dyDescent="0.25">
      <c r="A204" s="11"/>
      <c r="B204" s="51" t="s">
        <v>1082</v>
      </c>
      <c r="C204" s="11"/>
      <c r="D204" s="51"/>
      <c r="E204" s="51"/>
      <c r="F204" s="5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9"/>
      <c r="R204" s="11"/>
      <c r="S204" s="11"/>
      <c r="T204" s="11"/>
      <c r="U204" s="11"/>
      <c r="V204" s="9"/>
      <c r="W204" s="11"/>
      <c r="X204" s="11"/>
      <c r="Y204" s="52"/>
      <c r="Z204" s="11"/>
      <c r="AA204" s="11"/>
      <c r="AB204" s="11"/>
      <c r="AC204" s="11"/>
      <c r="AD204" s="11"/>
      <c r="AE204" s="11"/>
      <c r="AF204" s="11"/>
      <c r="AG204" s="73"/>
      <c r="AH204" s="73"/>
      <c r="AI204" s="73"/>
      <c r="AJ204" s="11"/>
      <c r="AK204" s="11"/>
      <c r="AM204" s="11"/>
      <c r="AN204" s="11"/>
      <c r="AO204" s="11"/>
      <c r="AP204" s="11"/>
      <c r="AQ204" s="11"/>
      <c r="AR204" s="11"/>
      <c r="AS204" s="11"/>
    </row>
    <row r="205" spans="1:46" x14ac:dyDescent="0.25">
      <c r="A205" s="11"/>
      <c r="B205" s="51" t="s">
        <v>1082</v>
      </c>
      <c r="C205" s="11"/>
      <c r="D205" s="51"/>
      <c r="E205" s="51"/>
      <c r="F205" s="5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9"/>
      <c r="R205" s="11"/>
      <c r="S205" s="11"/>
      <c r="T205" s="11"/>
      <c r="U205" s="11"/>
      <c r="V205" s="9"/>
      <c r="W205" s="11"/>
      <c r="X205" s="11"/>
      <c r="Y205" s="52"/>
      <c r="Z205" s="11"/>
      <c r="AA205" s="11"/>
      <c r="AB205" s="11"/>
      <c r="AC205" s="11"/>
      <c r="AD205" s="11"/>
      <c r="AE205" s="11"/>
      <c r="AF205" s="11"/>
      <c r="AG205" s="10"/>
      <c r="AH205" s="10"/>
      <c r="AI205" s="10"/>
      <c r="AJ205" s="11"/>
      <c r="AK205" s="11"/>
      <c r="AM205" s="11"/>
      <c r="AN205" s="11"/>
      <c r="AO205" s="11"/>
      <c r="AP205" s="11"/>
      <c r="AQ205" s="11"/>
      <c r="AR205" s="11"/>
      <c r="AS205" s="11"/>
    </row>
    <row r="206" spans="1:46" x14ac:dyDescent="0.25">
      <c r="A206" s="11"/>
      <c r="B206" s="51" t="s">
        <v>1082</v>
      </c>
      <c r="C206" s="11"/>
      <c r="D206" s="51"/>
      <c r="E206" s="51"/>
      <c r="F206" s="5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9"/>
      <c r="R206" s="11"/>
      <c r="S206" s="11"/>
      <c r="T206" s="11"/>
      <c r="U206" s="11"/>
      <c r="V206" s="9"/>
      <c r="W206" s="11"/>
      <c r="X206" s="11"/>
      <c r="Y206" s="52"/>
      <c r="Z206" s="11"/>
      <c r="AA206" s="11"/>
      <c r="AB206" s="11"/>
      <c r="AC206" s="11"/>
      <c r="AD206" s="11"/>
      <c r="AE206" s="11"/>
      <c r="AF206" s="11"/>
      <c r="AG206" s="10"/>
      <c r="AH206" s="10"/>
      <c r="AI206" s="10"/>
      <c r="AJ206" s="11"/>
      <c r="AK206" s="11"/>
      <c r="AM206" s="11"/>
      <c r="AN206" s="11"/>
      <c r="AO206" s="11"/>
      <c r="AP206" s="11"/>
      <c r="AQ206" s="11"/>
      <c r="AR206" s="11"/>
      <c r="AS206" s="11"/>
    </row>
    <row r="207" spans="1:46" x14ac:dyDescent="0.25">
      <c r="A207" s="11"/>
      <c r="B207" s="51" t="s">
        <v>1082</v>
      </c>
      <c r="C207" s="11"/>
      <c r="D207" s="51"/>
      <c r="E207" s="51"/>
      <c r="F207" s="5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9"/>
      <c r="R207" s="11"/>
      <c r="S207" s="11"/>
      <c r="T207" s="11"/>
      <c r="U207" s="11"/>
      <c r="V207" s="9"/>
      <c r="W207" s="11"/>
      <c r="X207" s="11"/>
      <c r="Y207" s="52"/>
      <c r="Z207" s="11"/>
      <c r="AA207" s="11"/>
      <c r="AB207" s="11"/>
      <c r="AC207" s="11"/>
      <c r="AD207" s="11"/>
      <c r="AE207" s="11"/>
      <c r="AF207" s="11"/>
      <c r="AG207" s="10"/>
      <c r="AH207" s="10"/>
      <c r="AI207" s="10"/>
      <c r="AJ207" s="11"/>
      <c r="AK207" s="11"/>
      <c r="AM207" s="11"/>
      <c r="AN207" s="11"/>
      <c r="AO207" s="11"/>
      <c r="AP207" s="11"/>
      <c r="AQ207" s="11"/>
      <c r="AR207" s="11"/>
      <c r="AS207" s="11"/>
    </row>
    <row r="208" spans="1:46" x14ac:dyDescent="0.25">
      <c r="A208" s="11"/>
      <c r="B208" s="51" t="s">
        <v>1082</v>
      </c>
      <c r="C208" s="11"/>
      <c r="D208" s="51"/>
      <c r="E208" s="51"/>
      <c r="F208" s="5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9"/>
      <c r="R208" s="11"/>
      <c r="S208" s="11"/>
      <c r="T208" s="11"/>
      <c r="U208" s="11"/>
      <c r="V208" s="9"/>
      <c r="W208" s="11"/>
      <c r="X208" s="11"/>
      <c r="Y208" s="52"/>
      <c r="Z208" s="11"/>
      <c r="AA208" s="11"/>
      <c r="AB208" s="11"/>
      <c r="AC208" s="11"/>
      <c r="AD208" s="11"/>
      <c r="AE208" s="11"/>
      <c r="AF208" s="11"/>
      <c r="AG208" s="10"/>
      <c r="AH208" s="10"/>
      <c r="AI208" s="10"/>
      <c r="AJ208" s="11"/>
      <c r="AK208" s="11"/>
      <c r="AM208" s="11"/>
      <c r="AN208" s="11"/>
      <c r="AO208" s="11"/>
      <c r="AP208" s="11"/>
      <c r="AQ208" s="11"/>
      <c r="AR208" s="11"/>
      <c r="AS208" s="11"/>
    </row>
    <row r="209" spans="1:45" x14ac:dyDescent="0.25">
      <c r="A209" s="11"/>
      <c r="B209" s="51" t="s">
        <v>1082</v>
      </c>
      <c r="C209" s="11"/>
      <c r="D209" s="51"/>
      <c r="E209" s="51"/>
      <c r="F209" s="5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9"/>
      <c r="R209" s="11"/>
      <c r="S209" s="11"/>
      <c r="T209" s="11"/>
      <c r="U209" s="11"/>
      <c r="V209" s="9"/>
      <c r="W209" s="11"/>
      <c r="X209" s="11"/>
      <c r="Y209" s="52"/>
      <c r="Z209" s="11"/>
      <c r="AA209" s="11"/>
      <c r="AB209" s="11"/>
      <c r="AC209" s="11"/>
      <c r="AD209" s="11"/>
      <c r="AE209" s="11"/>
      <c r="AF209" s="11"/>
      <c r="AG209" s="10"/>
      <c r="AH209" s="10"/>
      <c r="AI209" s="10"/>
      <c r="AJ209" s="11"/>
      <c r="AK209" s="11"/>
      <c r="AM209" s="11"/>
      <c r="AN209" s="11"/>
      <c r="AO209" s="11"/>
      <c r="AP209" s="11"/>
      <c r="AQ209" s="11"/>
      <c r="AR209" s="11"/>
      <c r="AS209" s="11"/>
    </row>
    <row r="210" spans="1:45" x14ac:dyDescent="0.25">
      <c r="A210" s="11"/>
      <c r="B210" s="51" t="s">
        <v>1082</v>
      </c>
      <c r="C210" s="11"/>
      <c r="D210" s="51"/>
      <c r="E210" s="51"/>
      <c r="F210" s="5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9"/>
      <c r="R210" s="11"/>
      <c r="S210" s="11"/>
      <c r="T210" s="11"/>
      <c r="U210" s="11"/>
      <c r="V210" s="9"/>
      <c r="W210" s="11"/>
      <c r="X210" s="11"/>
      <c r="Y210" s="52"/>
      <c r="Z210" s="11"/>
      <c r="AA210" s="11"/>
      <c r="AB210" s="11"/>
      <c r="AC210" s="11"/>
      <c r="AD210" s="11"/>
      <c r="AE210" s="11"/>
      <c r="AF210" s="11"/>
      <c r="AG210" s="10"/>
      <c r="AH210" s="10"/>
      <c r="AI210" s="10"/>
      <c r="AJ210" s="11"/>
      <c r="AK210" s="11"/>
      <c r="AM210" s="11"/>
      <c r="AN210" s="11"/>
      <c r="AO210" s="11"/>
      <c r="AP210" s="11"/>
      <c r="AQ210" s="11"/>
      <c r="AR210" s="11"/>
      <c r="AS210" s="11"/>
    </row>
    <row r="211" spans="1:45" x14ac:dyDescent="0.25">
      <c r="A211" s="11"/>
      <c r="B211" s="51" t="s">
        <v>1082</v>
      </c>
      <c r="C211" s="11"/>
      <c r="D211" s="51"/>
      <c r="E211" s="51"/>
      <c r="F211" s="5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9"/>
      <c r="R211" s="11"/>
      <c r="S211" s="11"/>
      <c r="T211" s="11"/>
      <c r="U211" s="11"/>
      <c r="V211" s="9"/>
      <c r="W211" s="11"/>
      <c r="X211" s="11"/>
      <c r="Y211" s="52"/>
      <c r="Z211" s="11"/>
      <c r="AA211" s="11"/>
      <c r="AB211" s="11"/>
      <c r="AC211" s="11"/>
      <c r="AD211" s="11"/>
      <c r="AE211" s="11"/>
      <c r="AF211" s="11"/>
      <c r="AG211" s="10"/>
      <c r="AH211" s="10"/>
      <c r="AI211" s="10"/>
      <c r="AJ211" s="11"/>
      <c r="AK211" s="11"/>
      <c r="AM211" s="11"/>
      <c r="AN211" s="11"/>
      <c r="AO211" s="11"/>
      <c r="AP211" s="11"/>
      <c r="AQ211" s="11"/>
      <c r="AR211" s="11"/>
      <c r="AS211" s="11"/>
    </row>
    <row r="212" spans="1:45" x14ac:dyDescent="0.25">
      <c r="A212" s="11"/>
      <c r="B212" s="51" t="s">
        <v>1082</v>
      </c>
      <c r="C212" s="11"/>
      <c r="D212" s="51"/>
      <c r="E212" s="51"/>
      <c r="F212" s="5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9"/>
      <c r="R212" s="11"/>
      <c r="S212" s="11"/>
      <c r="T212" s="11"/>
      <c r="U212" s="11"/>
      <c r="V212" s="9"/>
      <c r="W212" s="11"/>
      <c r="X212" s="11"/>
      <c r="Y212" s="52"/>
      <c r="Z212" s="11"/>
      <c r="AA212" s="11"/>
      <c r="AB212" s="11"/>
      <c r="AC212" s="11"/>
      <c r="AD212" s="11"/>
      <c r="AE212" s="11"/>
      <c r="AF212" s="11"/>
      <c r="AG212" s="10"/>
      <c r="AH212" s="10"/>
      <c r="AI212" s="10"/>
      <c r="AJ212" s="11"/>
      <c r="AK212" s="11"/>
      <c r="AM212" s="11"/>
      <c r="AN212" s="11"/>
      <c r="AO212" s="11"/>
      <c r="AP212" s="11"/>
      <c r="AQ212" s="11"/>
      <c r="AR212" s="11"/>
      <c r="AS212" s="11"/>
    </row>
    <row r="213" spans="1:45" x14ac:dyDescent="0.25">
      <c r="A213" s="11"/>
      <c r="B213" s="51" t="s">
        <v>1082</v>
      </c>
      <c r="C213" s="11"/>
      <c r="D213" s="51"/>
      <c r="E213" s="51"/>
      <c r="F213" s="5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9"/>
      <c r="R213" s="11"/>
      <c r="S213" s="11"/>
      <c r="T213" s="11"/>
      <c r="U213" s="11"/>
      <c r="V213" s="9"/>
      <c r="W213" s="11"/>
      <c r="X213" s="11"/>
      <c r="Y213" s="52"/>
      <c r="Z213" s="11"/>
      <c r="AA213" s="11"/>
      <c r="AB213" s="11"/>
      <c r="AC213" s="11"/>
      <c r="AD213" s="11"/>
      <c r="AE213" s="11"/>
      <c r="AF213" s="11"/>
      <c r="AG213" s="10"/>
      <c r="AH213" s="10"/>
      <c r="AI213" s="10"/>
      <c r="AJ213" s="11"/>
      <c r="AK213" s="11"/>
      <c r="AM213" s="11"/>
      <c r="AN213" s="11"/>
      <c r="AO213" s="11"/>
      <c r="AP213" s="11"/>
      <c r="AQ213" s="11"/>
      <c r="AR213" s="11"/>
      <c r="AS213" s="11"/>
    </row>
    <row r="214" spans="1:45" x14ac:dyDescent="0.25">
      <c r="A214" s="11"/>
      <c r="B214" s="51" t="s">
        <v>1082</v>
      </c>
      <c r="C214" s="11"/>
      <c r="D214" s="51"/>
      <c r="E214" s="51"/>
      <c r="F214" s="5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9"/>
      <c r="R214" s="11"/>
      <c r="S214" s="11"/>
      <c r="T214" s="11"/>
      <c r="U214" s="11"/>
      <c r="V214" s="9"/>
      <c r="W214" s="11"/>
      <c r="X214" s="11"/>
      <c r="Y214" s="52"/>
      <c r="Z214" s="11"/>
      <c r="AA214" s="11"/>
      <c r="AB214" s="11"/>
      <c r="AC214" s="11"/>
      <c r="AD214" s="11"/>
      <c r="AE214" s="11"/>
      <c r="AF214" s="11"/>
      <c r="AG214" s="10"/>
      <c r="AH214" s="10"/>
      <c r="AI214" s="10"/>
      <c r="AJ214" s="11"/>
      <c r="AK214" s="11"/>
      <c r="AM214" s="11"/>
      <c r="AN214" s="11"/>
      <c r="AO214" s="11"/>
      <c r="AP214" s="11"/>
      <c r="AQ214" s="11"/>
      <c r="AR214" s="11"/>
      <c r="AS214" s="11"/>
    </row>
    <row r="215" spans="1:45" x14ac:dyDescent="0.25">
      <c r="A215" s="11"/>
      <c r="B215" s="51" t="s">
        <v>1082</v>
      </c>
      <c r="C215" s="11"/>
      <c r="D215" s="51"/>
      <c r="E215" s="51"/>
      <c r="F215" s="5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9"/>
      <c r="R215" s="11"/>
      <c r="S215" s="11"/>
      <c r="T215" s="11"/>
      <c r="U215" s="11"/>
      <c r="V215" s="9"/>
      <c r="W215" s="11"/>
      <c r="X215" s="11"/>
      <c r="Y215" s="52"/>
      <c r="Z215" s="11"/>
      <c r="AA215" s="11"/>
      <c r="AB215" s="11"/>
      <c r="AC215" s="11"/>
      <c r="AD215" s="11"/>
      <c r="AE215" s="11"/>
      <c r="AF215" s="11"/>
      <c r="AG215" s="10"/>
      <c r="AH215" s="10"/>
      <c r="AI215" s="10"/>
      <c r="AJ215" s="11"/>
      <c r="AK215" s="11"/>
      <c r="AM215" s="11"/>
      <c r="AN215" s="11"/>
      <c r="AO215" s="11"/>
      <c r="AP215" s="11"/>
      <c r="AQ215" s="11"/>
      <c r="AR215" s="11"/>
      <c r="AS215" s="11"/>
    </row>
    <row r="216" spans="1:45" x14ac:dyDescent="0.25">
      <c r="A216" s="11"/>
      <c r="B216" s="51" t="s">
        <v>1082</v>
      </c>
      <c r="C216" s="11"/>
      <c r="D216" s="51"/>
      <c r="E216" s="51"/>
      <c r="F216" s="5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9"/>
      <c r="R216" s="11"/>
      <c r="S216" s="11"/>
      <c r="T216" s="11"/>
      <c r="U216" s="11"/>
      <c r="V216" s="9"/>
      <c r="W216" s="11"/>
      <c r="X216" s="11"/>
      <c r="Y216" s="52"/>
      <c r="Z216" s="11"/>
      <c r="AA216" s="11"/>
      <c r="AB216" s="11"/>
      <c r="AC216" s="11"/>
      <c r="AD216" s="11"/>
      <c r="AE216" s="11"/>
      <c r="AF216" s="11"/>
      <c r="AG216" s="10"/>
      <c r="AH216" s="10"/>
      <c r="AI216" s="10"/>
      <c r="AJ216" s="11"/>
      <c r="AK216" s="11"/>
      <c r="AM216" s="11"/>
      <c r="AN216" s="11"/>
      <c r="AO216" s="11"/>
      <c r="AP216" s="11"/>
      <c r="AQ216" s="11"/>
      <c r="AR216" s="11"/>
      <c r="AS216" s="11"/>
    </row>
    <row r="217" spans="1:45" x14ac:dyDescent="0.25">
      <c r="A217" s="11"/>
      <c r="B217" s="51" t="s">
        <v>1082</v>
      </c>
      <c r="C217" s="11"/>
      <c r="D217" s="51"/>
      <c r="E217" s="51"/>
      <c r="F217" s="5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9"/>
      <c r="R217" s="11"/>
      <c r="S217" s="11"/>
      <c r="T217" s="11"/>
      <c r="U217" s="11"/>
      <c r="V217" s="9"/>
      <c r="W217" s="11"/>
      <c r="X217" s="11"/>
      <c r="Y217" s="52"/>
      <c r="Z217" s="11"/>
      <c r="AA217" s="11"/>
      <c r="AB217" s="11"/>
      <c r="AC217" s="11"/>
      <c r="AD217" s="11"/>
      <c r="AE217" s="11"/>
      <c r="AF217" s="11"/>
      <c r="AG217" s="10"/>
      <c r="AH217" s="10"/>
      <c r="AI217" s="10"/>
      <c r="AJ217" s="11"/>
      <c r="AK217" s="11"/>
      <c r="AM217" s="11"/>
      <c r="AN217" s="11"/>
      <c r="AO217" s="11"/>
      <c r="AP217" s="11"/>
      <c r="AQ217" s="11"/>
      <c r="AR217" s="11"/>
      <c r="AS217" s="11"/>
    </row>
    <row r="218" spans="1:45" x14ac:dyDescent="0.25">
      <c r="A218" s="11"/>
      <c r="B218" s="51" t="s">
        <v>1082</v>
      </c>
      <c r="C218" s="11"/>
      <c r="D218" s="51"/>
      <c r="E218" s="51"/>
      <c r="F218" s="5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9"/>
      <c r="R218" s="11"/>
      <c r="S218" s="11"/>
      <c r="T218" s="11"/>
      <c r="U218" s="11"/>
      <c r="V218" s="9"/>
      <c r="W218" s="11"/>
      <c r="X218" s="11"/>
      <c r="Y218" s="52"/>
      <c r="Z218" s="11"/>
      <c r="AA218" s="11"/>
      <c r="AB218" s="11"/>
      <c r="AC218" s="11"/>
      <c r="AD218" s="11"/>
      <c r="AE218" s="11"/>
      <c r="AF218" s="11"/>
      <c r="AG218" s="10"/>
      <c r="AH218" s="10"/>
      <c r="AI218" s="10"/>
      <c r="AJ218" s="11"/>
      <c r="AK218" s="11"/>
      <c r="AM218" s="11"/>
      <c r="AN218" s="11"/>
      <c r="AO218" s="11"/>
      <c r="AP218" s="11"/>
      <c r="AQ218" s="11"/>
      <c r="AR218" s="11"/>
      <c r="AS218" s="11"/>
    </row>
    <row r="219" spans="1:45" x14ac:dyDescent="0.25">
      <c r="A219" s="11"/>
      <c r="B219" s="51" t="s">
        <v>1082</v>
      </c>
      <c r="C219" s="11"/>
      <c r="D219" s="51"/>
      <c r="E219" s="51"/>
      <c r="F219" s="5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9"/>
      <c r="R219" s="11"/>
      <c r="S219" s="11"/>
      <c r="T219" s="11"/>
      <c r="U219" s="11"/>
      <c r="V219" s="9"/>
      <c r="W219" s="11"/>
      <c r="X219" s="11"/>
      <c r="Y219" s="52"/>
      <c r="Z219" s="11"/>
      <c r="AA219" s="11"/>
      <c r="AB219" s="11"/>
      <c r="AC219" s="11"/>
      <c r="AD219" s="11"/>
      <c r="AE219" s="11"/>
      <c r="AF219" s="11"/>
      <c r="AG219" s="10"/>
      <c r="AH219" s="10"/>
      <c r="AI219" s="10"/>
      <c r="AJ219" s="11"/>
      <c r="AK219" s="11"/>
      <c r="AM219" s="11"/>
      <c r="AN219" s="11"/>
      <c r="AO219" s="11"/>
      <c r="AP219" s="11"/>
      <c r="AQ219" s="11"/>
      <c r="AR219" s="11"/>
      <c r="AS219" s="11"/>
    </row>
    <row r="220" spans="1:45" x14ac:dyDescent="0.25">
      <c r="A220" s="11"/>
      <c r="B220" s="51" t="s">
        <v>1082</v>
      </c>
      <c r="C220" s="11"/>
      <c r="D220" s="51"/>
      <c r="E220" s="51"/>
      <c r="F220" s="5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9"/>
      <c r="R220" s="11"/>
      <c r="S220" s="11"/>
      <c r="T220" s="11"/>
      <c r="U220" s="11"/>
      <c r="V220" s="9"/>
      <c r="W220" s="11"/>
      <c r="X220" s="11"/>
      <c r="Y220" s="52"/>
      <c r="Z220" s="11"/>
      <c r="AA220" s="11"/>
      <c r="AB220" s="11"/>
      <c r="AC220" s="11"/>
      <c r="AD220" s="11"/>
      <c r="AE220" s="11"/>
      <c r="AF220" s="11"/>
      <c r="AG220" s="10"/>
      <c r="AH220" s="10"/>
      <c r="AI220" s="10"/>
      <c r="AJ220" s="11"/>
      <c r="AK220" s="11"/>
      <c r="AM220" s="11"/>
      <c r="AN220" s="11"/>
      <c r="AO220" s="11"/>
      <c r="AP220" s="11"/>
      <c r="AQ220" s="11"/>
      <c r="AR220" s="11"/>
      <c r="AS220" s="11"/>
    </row>
    <row r="221" spans="1:45" x14ac:dyDescent="0.25">
      <c r="A221" s="11"/>
      <c r="B221" s="51" t="s">
        <v>1082</v>
      </c>
      <c r="C221" s="11"/>
      <c r="D221" s="51"/>
      <c r="E221" s="51"/>
      <c r="F221" s="5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9"/>
      <c r="R221" s="11"/>
      <c r="S221" s="11"/>
      <c r="T221" s="11"/>
      <c r="U221" s="11"/>
      <c r="V221" s="9"/>
      <c r="W221" s="11"/>
      <c r="X221" s="11"/>
      <c r="Y221" s="52"/>
      <c r="Z221" s="11"/>
      <c r="AA221" s="11"/>
      <c r="AB221" s="11"/>
      <c r="AC221" s="11"/>
      <c r="AD221" s="11"/>
      <c r="AE221" s="11"/>
      <c r="AF221" s="11"/>
      <c r="AG221" s="10"/>
      <c r="AH221" s="10"/>
      <c r="AI221" s="10"/>
      <c r="AJ221" s="11"/>
      <c r="AK221" s="11"/>
      <c r="AM221" s="11"/>
      <c r="AN221" s="11"/>
      <c r="AO221" s="11"/>
      <c r="AP221" s="11"/>
      <c r="AQ221" s="11"/>
      <c r="AR221" s="11"/>
      <c r="AS221" s="11"/>
    </row>
    <row r="222" spans="1:45" x14ac:dyDescent="0.25">
      <c r="A222" s="11"/>
      <c r="B222" s="51" t="s">
        <v>1082</v>
      </c>
      <c r="C222" s="11"/>
      <c r="D222" s="51"/>
      <c r="E222" s="51"/>
      <c r="F222" s="5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9"/>
      <c r="R222" s="11"/>
      <c r="S222" s="11"/>
      <c r="T222" s="11"/>
      <c r="U222" s="11"/>
      <c r="V222" s="9"/>
      <c r="W222" s="11"/>
      <c r="X222" s="11"/>
      <c r="Y222" s="52"/>
      <c r="Z222" s="11"/>
      <c r="AA222" s="11"/>
      <c r="AB222" s="11"/>
      <c r="AC222" s="11"/>
      <c r="AD222" s="11"/>
      <c r="AE222" s="11"/>
      <c r="AF222" s="11"/>
      <c r="AG222" s="10"/>
      <c r="AH222" s="10"/>
      <c r="AI222" s="10"/>
      <c r="AJ222" s="11"/>
      <c r="AK222" s="11"/>
      <c r="AM222" s="11"/>
      <c r="AN222" s="11"/>
      <c r="AO222" s="11"/>
      <c r="AP222" s="11"/>
      <c r="AQ222" s="11"/>
      <c r="AR222" s="11"/>
      <c r="AS222" s="11"/>
    </row>
    <row r="223" spans="1:45" x14ac:dyDescent="0.25">
      <c r="A223" s="11"/>
      <c r="B223" s="51" t="s">
        <v>1082</v>
      </c>
      <c r="C223" s="11"/>
      <c r="D223" s="51"/>
      <c r="E223" s="51"/>
      <c r="F223" s="5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9"/>
      <c r="R223" s="11"/>
      <c r="S223" s="11"/>
      <c r="T223" s="11"/>
      <c r="U223" s="11"/>
      <c r="V223" s="9"/>
      <c r="W223" s="11"/>
      <c r="X223" s="11"/>
      <c r="Y223" s="52"/>
      <c r="Z223" s="11"/>
      <c r="AA223" s="11"/>
      <c r="AB223" s="11"/>
      <c r="AC223" s="11"/>
      <c r="AD223" s="11"/>
      <c r="AE223" s="11"/>
      <c r="AF223" s="11"/>
      <c r="AG223" s="10"/>
      <c r="AH223" s="10"/>
      <c r="AI223" s="10"/>
      <c r="AJ223" s="11"/>
      <c r="AK223" s="11"/>
      <c r="AM223" s="11"/>
      <c r="AN223" s="11"/>
      <c r="AO223" s="11"/>
      <c r="AP223" s="11"/>
      <c r="AQ223" s="11"/>
      <c r="AR223" s="11"/>
      <c r="AS223" s="11"/>
    </row>
    <row r="224" spans="1:45" x14ac:dyDescent="0.25">
      <c r="A224" s="11"/>
      <c r="B224" s="51" t="s">
        <v>1082</v>
      </c>
      <c r="C224" s="11"/>
      <c r="D224" s="51"/>
      <c r="E224" s="51"/>
      <c r="F224" s="5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9"/>
      <c r="R224" s="11"/>
      <c r="S224" s="11"/>
      <c r="T224" s="11"/>
      <c r="U224" s="11"/>
      <c r="V224" s="9"/>
      <c r="W224" s="11"/>
      <c r="X224" s="11"/>
      <c r="Y224" s="52"/>
      <c r="Z224" s="11"/>
      <c r="AA224" s="11"/>
      <c r="AB224" s="11"/>
      <c r="AC224" s="11"/>
      <c r="AD224" s="11"/>
      <c r="AE224" s="11"/>
      <c r="AF224" s="11"/>
      <c r="AG224" s="10"/>
      <c r="AH224" s="10"/>
      <c r="AI224" s="10"/>
      <c r="AJ224" s="11"/>
      <c r="AK224" s="11"/>
      <c r="AM224" s="11"/>
      <c r="AN224" s="11"/>
      <c r="AO224" s="11"/>
      <c r="AP224" s="11"/>
      <c r="AQ224" s="11"/>
      <c r="AR224" s="11"/>
      <c r="AS224" s="11"/>
    </row>
    <row r="225" spans="1:45" x14ac:dyDescent="0.25">
      <c r="A225" s="11"/>
      <c r="B225" s="51" t="s">
        <v>1082</v>
      </c>
      <c r="C225" s="11"/>
      <c r="D225" s="51"/>
      <c r="E225" s="51"/>
      <c r="F225" s="5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9"/>
      <c r="R225" s="11"/>
      <c r="S225" s="11"/>
      <c r="T225" s="11"/>
      <c r="U225" s="11"/>
      <c r="V225" s="9"/>
      <c r="W225" s="11"/>
      <c r="X225" s="11"/>
      <c r="Y225" s="52"/>
      <c r="Z225" s="11"/>
      <c r="AA225" s="11"/>
      <c r="AB225" s="11"/>
      <c r="AC225" s="11"/>
      <c r="AD225" s="11"/>
      <c r="AE225" s="11"/>
      <c r="AF225" s="11"/>
      <c r="AG225" s="10"/>
      <c r="AH225" s="10"/>
      <c r="AI225" s="10"/>
      <c r="AJ225" s="11"/>
      <c r="AK225" s="11"/>
      <c r="AM225" s="11"/>
      <c r="AN225" s="11"/>
      <c r="AO225" s="11"/>
      <c r="AP225" s="11"/>
      <c r="AQ225" s="11"/>
      <c r="AR225" s="11"/>
      <c r="AS225" s="11"/>
    </row>
    <row r="226" spans="1:45" x14ac:dyDescent="0.25">
      <c r="A226" s="11"/>
      <c r="B226" s="51" t="s">
        <v>1082</v>
      </c>
      <c r="C226" s="11"/>
      <c r="D226" s="51"/>
      <c r="E226" s="51"/>
      <c r="F226" s="5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9"/>
      <c r="R226" s="11"/>
      <c r="S226" s="11"/>
      <c r="T226" s="11"/>
      <c r="U226" s="11"/>
      <c r="V226" s="9"/>
      <c r="W226" s="11"/>
      <c r="X226" s="11"/>
      <c r="Y226" s="52"/>
      <c r="Z226" s="11"/>
      <c r="AA226" s="11"/>
      <c r="AB226" s="11"/>
      <c r="AC226" s="11"/>
      <c r="AD226" s="11"/>
      <c r="AE226" s="11"/>
      <c r="AF226" s="11"/>
      <c r="AG226" s="10"/>
      <c r="AH226" s="10"/>
      <c r="AI226" s="10"/>
      <c r="AJ226" s="11"/>
      <c r="AK226" s="11"/>
      <c r="AM226" s="11"/>
      <c r="AN226" s="11"/>
      <c r="AO226" s="11"/>
      <c r="AP226" s="11"/>
      <c r="AQ226" s="11"/>
      <c r="AR226" s="11"/>
      <c r="AS226" s="11"/>
    </row>
    <row r="227" spans="1:45" x14ac:dyDescent="0.25">
      <c r="A227" s="11"/>
      <c r="B227" s="51" t="s">
        <v>1082</v>
      </c>
      <c r="C227" s="11"/>
      <c r="D227" s="51"/>
      <c r="E227" s="51"/>
      <c r="F227" s="5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9"/>
      <c r="R227" s="11"/>
      <c r="S227" s="11"/>
      <c r="T227" s="11"/>
      <c r="U227" s="11"/>
      <c r="V227" s="9"/>
      <c r="W227" s="11"/>
      <c r="X227" s="11"/>
      <c r="Y227" s="52"/>
      <c r="Z227" s="11"/>
      <c r="AA227" s="11"/>
      <c r="AB227" s="11"/>
      <c r="AC227" s="11"/>
      <c r="AD227" s="11"/>
      <c r="AE227" s="11"/>
      <c r="AF227" s="11"/>
      <c r="AG227" s="10"/>
      <c r="AH227" s="10"/>
      <c r="AI227" s="10"/>
      <c r="AJ227" s="11"/>
      <c r="AK227" s="11"/>
      <c r="AM227" s="11"/>
      <c r="AN227" s="11"/>
      <c r="AO227" s="11"/>
      <c r="AP227" s="11"/>
      <c r="AQ227" s="11"/>
      <c r="AR227" s="11"/>
      <c r="AS227" s="11"/>
    </row>
    <row r="228" spans="1:45" x14ac:dyDescent="0.25">
      <c r="A228" s="11"/>
      <c r="B228" s="51" t="s">
        <v>1082</v>
      </c>
      <c r="C228" s="11"/>
      <c r="D228" s="51"/>
      <c r="E228" s="51"/>
      <c r="F228" s="5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9"/>
      <c r="R228" s="11"/>
      <c r="S228" s="11"/>
      <c r="T228" s="11"/>
      <c r="U228" s="11"/>
      <c r="V228" s="9"/>
      <c r="W228" s="11"/>
      <c r="X228" s="11"/>
      <c r="Y228" s="52"/>
      <c r="Z228" s="11"/>
      <c r="AA228" s="11"/>
      <c r="AB228" s="11"/>
      <c r="AC228" s="11"/>
      <c r="AD228" s="11"/>
      <c r="AE228" s="11"/>
      <c r="AF228" s="11"/>
      <c r="AG228" s="10"/>
      <c r="AH228" s="10"/>
      <c r="AI228" s="10"/>
      <c r="AJ228" s="11"/>
      <c r="AK228" s="11"/>
      <c r="AM228" s="11"/>
      <c r="AN228" s="11"/>
      <c r="AO228" s="11"/>
      <c r="AP228" s="11"/>
      <c r="AQ228" s="11"/>
      <c r="AR228" s="11"/>
      <c r="AS228" s="11"/>
    </row>
    <row r="229" spans="1:45" x14ac:dyDescent="0.25">
      <c r="A229" s="11"/>
      <c r="B229" s="51" t="s">
        <v>1082</v>
      </c>
      <c r="C229" s="11"/>
      <c r="D229" s="51"/>
      <c r="E229" s="51"/>
      <c r="F229" s="5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9"/>
      <c r="R229" s="11"/>
      <c r="S229" s="11"/>
      <c r="T229" s="11"/>
      <c r="U229" s="11"/>
      <c r="V229" s="9"/>
      <c r="W229" s="11"/>
      <c r="X229" s="11"/>
      <c r="Y229" s="52"/>
      <c r="Z229" s="11"/>
      <c r="AA229" s="11"/>
      <c r="AB229" s="11"/>
      <c r="AC229" s="11"/>
      <c r="AD229" s="11"/>
      <c r="AE229" s="11"/>
      <c r="AF229" s="11"/>
      <c r="AG229" s="10"/>
      <c r="AH229" s="10"/>
      <c r="AI229" s="10"/>
      <c r="AJ229" s="11"/>
      <c r="AK229" s="11"/>
      <c r="AM229" s="11"/>
      <c r="AN229" s="11"/>
      <c r="AO229" s="11"/>
      <c r="AP229" s="11"/>
      <c r="AQ229" s="11"/>
      <c r="AR229" s="11"/>
      <c r="AS229" s="11"/>
    </row>
    <row r="230" spans="1:45" x14ac:dyDescent="0.25">
      <c r="A230" s="11"/>
      <c r="B230" s="51" t="s">
        <v>1082</v>
      </c>
      <c r="C230" s="11"/>
      <c r="D230" s="51"/>
      <c r="E230" s="51"/>
      <c r="F230" s="5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9"/>
      <c r="R230" s="11"/>
      <c r="S230" s="11"/>
      <c r="T230" s="11"/>
      <c r="U230" s="11"/>
      <c r="V230" s="9"/>
      <c r="W230" s="11"/>
      <c r="X230" s="11"/>
      <c r="Y230" s="52"/>
      <c r="Z230" s="11"/>
      <c r="AA230" s="11"/>
      <c r="AB230" s="11"/>
      <c r="AC230" s="11"/>
      <c r="AD230" s="11"/>
      <c r="AE230" s="11"/>
      <c r="AF230" s="11"/>
      <c r="AG230" s="10"/>
      <c r="AH230" s="10"/>
      <c r="AI230" s="10"/>
      <c r="AJ230" s="11"/>
      <c r="AK230" s="11"/>
      <c r="AM230" s="11"/>
      <c r="AN230" s="11"/>
      <c r="AO230" s="11"/>
      <c r="AP230" s="11"/>
      <c r="AQ230" s="11"/>
      <c r="AR230" s="11"/>
      <c r="AS230" s="11"/>
    </row>
    <row r="231" spans="1:45" x14ac:dyDescent="0.25">
      <c r="A231" s="11"/>
      <c r="B231" s="51" t="s">
        <v>1082</v>
      </c>
      <c r="C231" s="11"/>
      <c r="D231" s="51"/>
      <c r="E231" s="51"/>
      <c r="F231" s="5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9"/>
      <c r="R231" s="11"/>
      <c r="S231" s="11"/>
      <c r="T231" s="11"/>
      <c r="U231" s="11"/>
      <c r="V231" s="9"/>
      <c r="W231" s="11"/>
      <c r="X231" s="11"/>
      <c r="Y231" s="52"/>
      <c r="Z231" s="11"/>
      <c r="AA231" s="11"/>
      <c r="AB231" s="11"/>
      <c r="AC231" s="11"/>
      <c r="AD231" s="11"/>
      <c r="AE231" s="11"/>
      <c r="AF231" s="11"/>
      <c r="AG231" s="10"/>
      <c r="AH231" s="10"/>
      <c r="AI231" s="10"/>
      <c r="AJ231" s="11"/>
      <c r="AK231" s="11"/>
      <c r="AM231" s="11"/>
      <c r="AN231" s="11"/>
      <c r="AO231" s="11"/>
      <c r="AP231" s="11"/>
      <c r="AQ231" s="11"/>
      <c r="AR231" s="11"/>
      <c r="AS231" s="11"/>
    </row>
    <row r="232" spans="1:45" x14ac:dyDescent="0.25">
      <c r="A232" s="11"/>
      <c r="B232" s="51" t="s">
        <v>1082</v>
      </c>
      <c r="C232" s="11"/>
      <c r="D232" s="51"/>
      <c r="E232" s="51"/>
      <c r="F232" s="5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9"/>
      <c r="R232" s="11"/>
      <c r="S232" s="11"/>
      <c r="T232" s="11"/>
      <c r="U232" s="11"/>
      <c r="V232" s="9"/>
      <c r="W232" s="11"/>
      <c r="X232" s="11"/>
      <c r="Y232" s="52"/>
      <c r="Z232" s="11"/>
      <c r="AA232" s="11"/>
      <c r="AB232" s="11"/>
      <c r="AC232" s="11"/>
      <c r="AD232" s="11"/>
      <c r="AE232" s="11"/>
      <c r="AF232" s="11"/>
      <c r="AG232" s="10"/>
      <c r="AH232" s="10"/>
      <c r="AI232" s="10"/>
      <c r="AJ232" s="11"/>
      <c r="AK232" s="11"/>
      <c r="AM232" s="11"/>
      <c r="AN232" s="11"/>
      <c r="AO232" s="11"/>
      <c r="AP232" s="11"/>
      <c r="AQ232" s="11"/>
      <c r="AR232" s="11"/>
      <c r="AS232" s="11"/>
    </row>
    <row r="233" spans="1:45" x14ac:dyDescent="0.25">
      <c r="A233" s="11"/>
      <c r="B233" s="51" t="s">
        <v>1082</v>
      </c>
      <c r="C233" s="11"/>
      <c r="D233" s="51"/>
      <c r="E233" s="51"/>
      <c r="F233" s="5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9"/>
      <c r="R233" s="11"/>
      <c r="S233" s="11"/>
      <c r="T233" s="11"/>
      <c r="U233" s="11"/>
      <c r="V233" s="9"/>
      <c r="W233" s="11"/>
      <c r="X233" s="11"/>
      <c r="Y233" s="52"/>
      <c r="Z233" s="11"/>
      <c r="AA233" s="11"/>
      <c r="AB233" s="11"/>
      <c r="AC233" s="11"/>
      <c r="AD233" s="11"/>
      <c r="AE233" s="11"/>
      <c r="AF233" s="11"/>
      <c r="AG233" s="10"/>
      <c r="AH233" s="10"/>
      <c r="AI233" s="10"/>
      <c r="AJ233" s="11"/>
      <c r="AK233" s="11"/>
      <c r="AM233" s="11"/>
      <c r="AN233" s="11"/>
      <c r="AO233" s="11"/>
      <c r="AP233" s="11"/>
      <c r="AQ233" s="11"/>
      <c r="AR233" s="11"/>
      <c r="AS233" s="11"/>
    </row>
    <row r="234" spans="1:45" x14ac:dyDescent="0.25">
      <c r="A234" s="11"/>
      <c r="B234" s="51" t="s">
        <v>1082</v>
      </c>
      <c r="C234" s="11"/>
      <c r="D234" s="51"/>
      <c r="E234" s="51"/>
      <c r="F234" s="5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9"/>
      <c r="R234" s="11"/>
      <c r="S234" s="11"/>
      <c r="T234" s="11"/>
      <c r="U234" s="11"/>
      <c r="V234" s="9"/>
      <c r="W234" s="11"/>
      <c r="X234" s="11"/>
      <c r="Y234" s="52"/>
      <c r="Z234" s="11"/>
      <c r="AA234" s="11"/>
      <c r="AB234" s="11"/>
      <c r="AC234" s="11"/>
      <c r="AD234" s="11"/>
      <c r="AE234" s="11"/>
      <c r="AF234" s="11"/>
      <c r="AG234" s="10"/>
      <c r="AH234" s="10"/>
      <c r="AI234" s="10"/>
      <c r="AJ234" s="11"/>
      <c r="AK234" s="11"/>
      <c r="AM234" s="11"/>
      <c r="AN234" s="11"/>
      <c r="AO234" s="11"/>
      <c r="AP234" s="11"/>
      <c r="AQ234" s="11"/>
      <c r="AR234" s="11"/>
      <c r="AS234" s="11"/>
    </row>
    <row r="235" spans="1:45" x14ac:dyDescent="0.25">
      <c r="A235" s="11"/>
      <c r="B235" s="51" t="s">
        <v>1082</v>
      </c>
      <c r="C235" s="11"/>
      <c r="D235" s="51"/>
      <c r="E235" s="51"/>
      <c r="F235" s="5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9"/>
      <c r="R235" s="11"/>
      <c r="S235" s="11"/>
      <c r="T235" s="11"/>
      <c r="U235" s="11"/>
      <c r="V235" s="9"/>
      <c r="W235" s="11"/>
      <c r="X235" s="11"/>
      <c r="Y235" s="52"/>
      <c r="Z235" s="11"/>
      <c r="AA235" s="11"/>
      <c r="AB235" s="11"/>
      <c r="AC235" s="11"/>
      <c r="AD235" s="11"/>
      <c r="AE235" s="11"/>
      <c r="AF235" s="11"/>
      <c r="AG235" s="10"/>
      <c r="AH235" s="10"/>
      <c r="AI235" s="10"/>
      <c r="AJ235" s="11"/>
      <c r="AK235" s="11"/>
      <c r="AM235" s="11"/>
      <c r="AN235" s="11"/>
      <c r="AO235" s="11"/>
      <c r="AP235" s="11"/>
      <c r="AQ235" s="11"/>
      <c r="AR235" s="11"/>
      <c r="AS235" s="11"/>
    </row>
    <row r="236" spans="1:45" x14ac:dyDescent="0.25">
      <c r="A236" s="11"/>
      <c r="B236" s="51" t="s">
        <v>1082</v>
      </c>
      <c r="C236" s="11"/>
      <c r="D236" s="51"/>
      <c r="E236" s="51"/>
      <c r="F236" s="5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9"/>
      <c r="R236" s="11"/>
      <c r="S236" s="11"/>
      <c r="T236" s="11"/>
      <c r="U236" s="11"/>
      <c r="V236" s="9"/>
      <c r="W236" s="11"/>
      <c r="X236" s="11"/>
      <c r="Y236" s="52"/>
      <c r="Z236" s="11"/>
      <c r="AA236" s="11"/>
      <c r="AB236" s="11"/>
      <c r="AC236" s="11"/>
      <c r="AD236" s="11"/>
      <c r="AE236" s="11"/>
      <c r="AF236" s="11"/>
      <c r="AG236" s="10"/>
      <c r="AH236" s="10"/>
      <c r="AI236" s="10"/>
      <c r="AJ236" s="11"/>
      <c r="AK236" s="11"/>
      <c r="AM236" s="11"/>
      <c r="AN236" s="11"/>
      <c r="AO236" s="11"/>
      <c r="AP236" s="11"/>
      <c r="AQ236" s="11"/>
      <c r="AR236" s="11"/>
      <c r="AS236" s="11"/>
    </row>
    <row r="237" spans="1:45" x14ac:dyDescent="0.25">
      <c r="A237" s="11"/>
      <c r="B237" s="51" t="s">
        <v>1082</v>
      </c>
      <c r="C237" s="11"/>
      <c r="D237" s="51"/>
      <c r="E237" s="51"/>
      <c r="F237" s="5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9"/>
      <c r="R237" s="11"/>
      <c r="S237" s="11"/>
      <c r="T237" s="11"/>
      <c r="U237" s="11"/>
      <c r="V237" s="9"/>
      <c r="W237" s="11"/>
      <c r="X237" s="11"/>
      <c r="Y237" s="52"/>
      <c r="Z237" s="11"/>
      <c r="AA237" s="11"/>
      <c r="AB237" s="11"/>
      <c r="AC237" s="11"/>
      <c r="AD237" s="11"/>
      <c r="AE237" s="11"/>
      <c r="AF237" s="11"/>
      <c r="AG237" s="10"/>
      <c r="AH237" s="10"/>
      <c r="AI237" s="10"/>
      <c r="AJ237" s="11"/>
      <c r="AK237" s="11"/>
      <c r="AM237" s="11"/>
      <c r="AN237" s="11"/>
      <c r="AO237" s="11"/>
      <c r="AP237" s="11"/>
      <c r="AQ237" s="11"/>
      <c r="AR237" s="11"/>
      <c r="AS237" s="11"/>
    </row>
    <row r="238" spans="1:45" x14ac:dyDescent="0.25">
      <c r="A238" s="11"/>
      <c r="B238" s="51" t="s">
        <v>1082</v>
      </c>
      <c r="C238" s="11"/>
      <c r="D238" s="51"/>
      <c r="E238" s="51"/>
      <c r="F238" s="5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9"/>
      <c r="R238" s="11"/>
      <c r="S238" s="11"/>
      <c r="T238" s="11"/>
      <c r="U238" s="11"/>
      <c r="V238" s="9"/>
      <c r="W238" s="11"/>
      <c r="X238" s="11"/>
      <c r="Y238" s="52"/>
      <c r="Z238" s="11"/>
      <c r="AA238" s="11"/>
      <c r="AB238" s="11"/>
      <c r="AC238" s="11"/>
      <c r="AD238" s="11"/>
      <c r="AE238" s="11"/>
      <c r="AF238" s="11"/>
      <c r="AG238" s="10"/>
      <c r="AH238" s="10"/>
      <c r="AI238" s="10"/>
      <c r="AJ238" s="11"/>
      <c r="AK238" s="11"/>
      <c r="AM238" s="11"/>
      <c r="AN238" s="11"/>
      <c r="AO238" s="11"/>
      <c r="AP238" s="11"/>
      <c r="AQ238" s="11"/>
      <c r="AR238" s="11"/>
      <c r="AS238" s="11"/>
    </row>
    <row r="239" spans="1:45" x14ac:dyDescent="0.25">
      <c r="A239" s="11"/>
      <c r="B239" s="51" t="s">
        <v>1082</v>
      </c>
      <c r="C239" s="11"/>
      <c r="D239" s="51"/>
      <c r="E239" s="51"/>
      <c r="F239" s="5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9"/>
      <c r="R239" s="11"/>
      <c r="S239" s="11"/>
      <c r="T239" s="11"/>
      <c r="U239" s="11"/>
      <c r="V239" s="9"/>
      <c r="W239" s="11"/>
      <c r="X239" s="11"/>
      <c r="Y239" s="52"/>
      <c r="Z239" s="11"/>
      <c r="AA239" s="11"/>
      <c r="AB239" s="11"/>
      <c r="AC239" s="11"/>
      <c r="AD239" s="11"/>
      <c r="AE239" s="11"/>
      <c r="AF239" s="11"/>
      <c r="AG239" s="10"/>
      <c r="AH239" s="10"/>
      <c r="AI239" s="10"/>
      <c r="AJ239" s="11"/>
      <c r="AK239" s="11"/>
      <c r="AM239" s="11"/>
      <c r="AN239" s="11"/>
      <c r="AO239" s="11"/>
      <c r="AP239" s="11"/>
      <c r="AQ239" s="11"/>
      <c r="AR239" s="11"/>
      <c r="AS239" s="11"/>
    </row>
    <row r="240" spans="1:45" x14ac:dyDescent="0.25">
      <c r="A240" s="11"/>
      <c r="B240" s="51" t="s">
        <v>1082</v>
      </c>
      <c r="C240" s="11"/>
      <c r="D240" s="51"/>
      <c r="E240" s="51"/>
      <c r="F240" s="5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9"/>
      <c r="R240" s="11"/>
      <c r="S240" s="11"/>
      <c r="T240" s="11"/>
      <c r="U240" s="11"/>
      <c r="V240" s="9"/>
      <c r="W240" s="11"/>
      <c r="X240" s="11"/>
      <c r="Y240" s="52"/>
      <c r="Z240" s="11"/>
      <c r="AA240" s="11"/>
      <c r="AB240" s="11"/>
      <c r="AC240" s="11"/>
      <c r="AD240" s="11"/>
      <c r="AE240" s="11"/>
      <c r="AF240" s="11"/>
      <c r="AG240" s="10"/>
      <c r="AH240" s="10"/>
      <c r="AI240" s="10"/>
      <c r="AJ240" s="11"/>
      <c r="AK240" s="11"/>
      <c r="AM240" s="11"/>
      <c r="AN240" s="11"/>
      <c r="AO240" s="11"/>
      <c r="AP240" s="11"/>
      <c r="AQ240" s="11"/>
      <c r="AR240" s="11"/>
      <c r="AS240" s="11"/>
    </row>
    <row r="241" spans="1:45" x14ac:dyDescent="0.25">
      <c r="A241" s="11"/>
      <c r="B241" s="51" t="s">
        <v>1082</v>
      </c>
      <c r="C241" s="11"/>
      <c r="D241" s="51"/>
      <c r="E241" s="51"/>
      <c r="F241" s="5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9"/>
      <c r="R241" s="11"/>
      <c r="S241" s="11"/>
      <c r="T241" s="11"/>
      <c r="U241" s="11"/>
      <c r="V241" s="9"/>
      <c r="W241" s="11"/>
      <c r="X241" s="11"/>
      <c r="Y241" s="52"/>
      <c r="Z241" s="11"/>
      <c r="AA241" s="11"/>
      <c r="AB241" s="11"/>
      <c r="AC241" s="11"/>
      <c r="AD241" s="11"/>
      <c r="AE241" s="11"/>
      <c r="AF241" s="11"/>
      <c r="AG241" s="10"/>
      <c r="AH241" s="10"/>
      <c r="AI241" s="10"/>
      <c r="AJ241" s="11"/>
      <c r="AK241" s="11"/>
      <c r="AM241" s="11"/>
      <c r="AN241" s="11"/>
      <c r="AO241" s="11"/>
      <c r="AP241" s="11"/>
      <c r="AQ241" s="11"/>
      <c r="AR241" s="11"/>
      <c r="AS241" s="11"/>
    </row>
    <row r="242" spans="1:45" x14ac:dyDescent="0.25">
      <c r="A242" s="11"/>
      <c r="B242" s="51" t="s">
        <v>1082</v>
      </c>
      <c r="C242" s="11"/>
      <c r="D242" s="51"/>
      <c r="E242" s="51"/>
      <c r="F242" s="5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9"/>
      <c r="R242" s="11"/>
      <c r="S242" s="11"/>
      <c r="T242" s="11"/>
      <c r="U242" s="11"/>
      <c r="V242" s="9"/>
      <c r="W242" s="11"/>
      <c r="X242" s="11"/>
      <c r="Y242" s="52"/>
      <c r="Z242" s="11"/>
      <c r="AA242" s="11"/>
      <c r="AB242" s="11"/>
      <c r="AC242" s="11"/>
      <c r="AD242" s="11"/>
      <c r="AE242" s="11"/>
      <c r="AF242" s="11"/>
      <c r="AG242" s="10"/>
      <c r="AH242" s="10"/>
      <c r="AI242" s="10"/>
      <c r="AJ242" s="11"/>
      <c r="AK242" s="11"/>
      <c r="AM242" s="11"/>
      <c r="AN242" s="11"/>
      <c r="AO242" s="11"/>
      <c r="AP242" s="11"/>
      <c r="AQ242" s="11"/>
      <c r="AR242" s="11"/>
      <c r="AS242" s="11"/>
    </row>
    <row r="243" spans="1:45" x14ac:dyDescent="0.25">
      <c r="A243" s="11"/>
      <c r="B243" s="51" t="s">
        <v>1082</v>
      </c>
      <c r="C243" s="11"/>
      <c r="D243" s="51"/>
      <c r="E243" s="51"/>
      <c r="F243" s="5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9"/>
      <c r="R243" s="11"/>
      <c r="S243" s="11"/>
      <c r="T243" s="11"/>
      <c r="U243" s="11"/>
      <c r="V243" s="9"/>
      <c r="W243" s="11"/>
      <c r="X243" s="11"/>
      <c r="Y243" s="52"/>
      <c r="Z243" s="11"/>
      <c r="AA243" s="11"/>
      <c r="AB243" s="11"/>
      <c r="AC243" s="11"/>
      <c r="AD243" s="11"/>
      <c r="AE243" s="11"/>
      <c r="AF243" s="11"/>
      <c r="AG243" s="10"/>
      <c r="AH243" s="10"/>
      <c r="AI243" s="10"/>
      <c r="AJ243" s="11"/>
      <c r="AK243" s="11"/>
      <c r="AM243" s="11"/>
      <c r="AN243" s="11"/>
      <c r="AO243" s="11"/>
      <c r="AP243" s="11"/>
      <c r="AQ243" s="11"/>
      <c r="AR243" s="11"/>
      <c r="AS243" s="11"/>
    </row>
    <row r="244" spans="1:45" x14ac:dyDescent="0.25">
      <c r="A244" s="11"/>
      <c r="B244" s="51" t="s">
        <v>1082</v>
      </c>
      <c r="C244" s="11"/>
      <c r="D244" s="51"/>
      <c r="E244" s="51"/>
      <c r="F244" s="5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9"/>
      <c r="R244" s="11"/>
      <c r="S244" s="11"/>
      <c r="T244" s="11"/>
      <c r="U244" s="11"/>
      <c r="V244" s="9"/>
      <c r="W244" s="11"/>
      <c r="X244" s="11"/>
      <c r="Y244" s="52"/>
      <c r="Z244" s="11"/>
      <c r="AA244" s="11"/>
      <c r="AB244" s="11"/>
      <c r="AC244" s="11"/>
      <c r="AD244" s="11"/>
      <c r="AE244" s="11"/>
      <c r="AF244" s="11"/>
      <c r="AG244" s="10"/>
      <c r="AH244" s="10"/>
      <c r="AI244" s="10"/>
      <c r="AJ244" s="11"/>
      <c r="AK244" s="11"/>
      <c r="AM244" s="11"/>
      <c r="AN244" s="11"/>
      <c r="AO244" s="11"/>
      <c r="AP244" s="11"/>
      <c r="AQ244" s="11"/>
      <c r="AR244" s="11"/>
      <c r="AS244" s="11"/>
    </row>
    <row r="245" spans="1:45" x14ac:dyDescent="0.25">
      <c r="A245" s="11"/>
      <c r="B245" s="51" t="s">
        <v>1082</v>
      </c>
      <c r="C245" s="11"/>
      <c r="D245" s="51"/>
      <c r="E245" s="51"/>
      <c r="F245" s="5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9"/>
      <c r="R245" s="11"/>
      <c r="S245" s="11"/>
      <c r="T245" s="11"/>
      <c r="U245" s="11"/>
      <c r="V245" s="9"/>
      <c r="W245" s="11"/>
      <c r="X245" s="11"/>
      <c r="Y245" s="52"/>
      <c r="Z245" s="11"/>
      <c r="AA245" s="11"/>
      <c r="AB245" s="11"/>
      <c r="AC245" s="11"/>
      <c r="AD245" s="11"/>
      <c r="AE245" s="11"/>
      <c r="AF245" s="11"/>
      <c r="AG245" s="10"/>
      <c r="AH245" s="10"/>
      <c r="AI245" s="10"/>
      <c r="AJ245" s="11"/>
      <c r="AK245" s="11"/>
      <c r="AM245" s="11"/>
      <c r="AN245" s="11"/>
      <c r="AO245" s="11"/>
      <c r="AP245" s="11"/>
      <c r="AQ245" s="11"/>
      <c r="AR245" s="11"/>
      <c r="AS245" s="11"/>
    </row>
    <row r="246" spans="1:45" x14ac:dyDescent="0.25">
      <c r="A246" s="11"/>
      <c r="B246" s="51" t="s">
        <v>1082</v>
      </c>
      <c r="C246" s="11"/>
      <c r="D246" s="51"/>
      <c r="E246" s="51"/>
      <c r="F246" s="5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9"/>
      <c r="R246" s="11"/>
      <c r="S246" s="11"/>
      <c r="T246" s="11"/>
      <c r="U246" s="11"/>
      <c r="V246" s="9"/>
      <c r="W246" s="11"/>
      <c r="X246" s="11"/>
      <c r="Y246" s="52"/>
      <c r="Z246" s="11"/>
      <c r="AA246" s="11"/>
      <c r="AB246" s="11"/>
      <c r="AC246" s="11"/>
      <c r="AD246" s="11"/>
      <c r="AE246" s="11"/>
      <c r="AF246" s="11"/>
      <c r="AG246" s="10"/>
      <c r="AH246" s="10"/>
      <c r="AI246" s="10"/>
      <c r="AJ246" s="11"/>
      <c r="AK246" s="11"/>
      <c r="AM246" s="11"/>
      <c r="AN246" s="11"/>
      <c r="AO246" s="11"/>
      <c r="AP246" s="11"/>
      <c r="AQ246" s="11"/>
      <c r="AR246" s="11"/>
      <c r="AS246" s="11"/>
    </row>
    <row r="247" spans="1:45" x14ac:dyDescent="0.25">
      <c r="A247" s="11"/>
      <c r="B247" s="51" t="s">
        <v>1082</v>
      </c>
      <c r="C247" s="11"/>
      <c r="D247" s="51"/>
      <c r="E247" s="51"/>
      <c r="F247" s="5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9"/>
      <c r="R247" s="11"/>
      <c r="S247" s="11"/>
      <c r="T247" s="11"/>
      <c r="U247" s="11"/>
      <c r="V247" s="9"/>
      <c r="W247" s="11"/>
      <c r="X247" s="11"/>
      <c r="Y247" s="52"/>
      <c r="Z247" s="11"/>
      <c r="AA247" s="11"/>
      <c r="AB247" s="11"/>
      <c r="AC247" s="11"/>
      <c r="AD247" s="11"/>
      <c r="AE247" s="11"/>
      <c r="AF247" s="11"/>
      <c r="AG247" s="10"/>
      <c r="AH247" s="10"/>
      <c r="AI247" s="10"/>
      <c r="AJ247" s="11"/>
      <c r="AK247" s="11"/>
      <c r="AM247" s="11"/>
      <c r="AN247" s="11"/>
      <c r="AO247" s="11"/>
      <c r="AP247" s="11"/>
      <c r="AQ247" s="11"/>
      <c r="AR247" s="11"/>
      <c r="AS247" s="11"/>
    </row>
    <row r="248" spans="1:45" x14ac:dyDescent="0.25">
      <c r="A248" s="11"/>
      <c r="B248" s="51" t="s">
        <v>1082</v>
      </c>
      <c r="C248" s="11"/>
      <c r="D248" s="51"/>
      <c r="E248" s="51"/>
      <c r="F248" s="5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9"/>
      <c r="R248" s="11"/>
      <c r="S248" s="11"/>
      <c r="T248" s="11"/>
      <c r="U248" s="11"/>
      <c r="V248" s="9"/>
      <c r="W248" s="11"/>
      <c r="X248" s="11"/>
      <c r="Y248" s="52"/>
      <c r="Z248" s="11"/>
      <c r="AA248" s="11"/>
      <c r="AB248" s="11"/>
      <c r="AC248" s="11"/>
      <c r="AD248" s="11"/>
      <c r="AE248" s="11"/>
      <c r="AF248" s="11"/>
      <c r="AG248" s="10"/>
      <c r="AH248" s="10"/>
      <c r="AI248" s="10"/>
      <c r="AJ248" s="11"/>
      <c r="AK248" s="11"/>
      <c r="AM248" s="11"/>
      <c r="AN248" s="11"/>
      <c r="AO248" s="11"/>
      <c r="AP248" s="11"/>
      <c r="AQ248" s="11"/>
      <c r="AR248" s="11"/>
      <c r="AS248" s="11"/>
    </row>
    <row r="249" spans="1:45" x14ac:dyDescent="0.25">
      <c r="A249" s="11"/>
      <c r="B249" s="51" t="s">
        <v>1082</v>
      </c>
      <c r="C249" s="11"/>
      <c r="D249" s="51"/>
      <c r="E249" s="51"/>
      <c r="F249" s="5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9"/>
      <c r="R249" s="11"/>
      <c r="S249" s="11"/>
      <c r="T249" s="11"/>
      <c r="U249" s="11"/>
      <c r="V249" s="9"/>
      <c r="W249" s="11"/>
      <c r="X249" s="11"/>
      <c r="Y249" s="52"/>
      <c r="Z249" s="11"/>
      <c r="AA249" s="11"/>
      <c r="AB249" s="11"/>
      <c r="AC249" s="11"/>
      <c r="AD249" s="11"/>
      <c r="AE249" s="11"/>
      <c r="AF249" s="11"/>
      <c r="AG249" s="10"/>
      <c r="AH249" s="10"/>
      <c r="AI249" s="10"/>
      <c r="AJ249" s="11"/>
      <c r="AK249" s="11"/>
      <c r="AM249" s="11"/>
      <c r="AN249" s="11"/>
      <c r="AO249" s="11"/>
      <c r="AP249" s="11"/>
      <c r="AQ249" s="11"/>
      <c r="AR249" s="11"/>
      <c r="AS249" s="11"/>
    </row>
    <row r="250" spans="1:45" x14ac:dyDescent="0.25">
      <c r="A250" s="11"/>
      <c r="B250" s="51" t="s">
        <v>1082</v>
      </c>
      <c r="C250" s="11"/>
      <c r="D250" s="51"/>
      <c r="E250" s="51"/>
      <c r="F250" s="5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9"/>
      <c r="R250" s="11"/>
      <c r="S250" s="11"/>
      <c r="T250" s="11"/>
      <c r="U250" s="11"/>
      <c r="V250" s="9"/>
      <c r="W250" s="11"/>
      <c r="X250" s="11"/>
      <c r="Y250" s="52"/>
      <c r="Z250" s="11"/>
      <c r="AA250" s="11"/>
      <c r="AB250" s="11"/>
      <c r="AC250" s="11"/>
      <c r="AD250" s="11"/>
      <c r="AE250" s="11"/>
      <c r="AF250" s="11"/>
      <c r="AG250" s="10"/>
      <c r="AH250" s="10"/>
      <c r="AI250" s="10"/>
      <c r="AJ250" s="11"/>
      <c r="AK250" s="11"/>
      <c r="AM250" s="11"/>
      <c r="AN250" s="11"/>
      <c r="AO250" s="11"/>
      <c r="AP250" s="11"/>
      <c r="AQ250" s="11"/>
      <c r="AR250" s="11"/>
      <c r="AS250" s="11"/>
    </row>
    <row r="251" spans="1:45" x14ac:dyDescent="0.25">
      <c r="A251" s="11"/>
      <c r="B251" s="51" t="s">
        <v>1082</v>
      </c>
      <c r="C251" s="11"/>
      <c r="D251" s="51"/>
      <c r="E251" s="51"/>
      <c r="F251" s="5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9"/>
      <c r="R251" s="11"/>
      <c r="S251" s="11"/>
      <c r="T251" s="11"/>
      <c r="U251" s="11"/>
      <c r="V251" s="9"/>
      <c r="W251" s="11"/>
      <c r="X251" s="11"/>
      <c r="Y251" s="52"/>
      <c r="Z251" s="11"/>
      <c r="AA251" s="11"/>
      <c r="AB251" s="11"/>
      <c r="AC251" s="11"/>
      <c r="AD251" s="11"/>
      <c r="AE251" s="11"/>
      <c r="AF251" s="11"/>
      <c r="AG251" s="10"/>
      <c r="AH251" s="10"/>
      <c r="AI251" s="10"/>
      <c r="AJ251" s="11"/>
      <c r="AK251" s="11"/>
      <c r="AM251" s="11"/>
      <c r="AN251" s="11"/>
      <c r="AO251" s="11"/>
      <c r="AP251" s="11"/>
      <c r="AQ251" s="11"/>
      <c r="AR251" s="11"/>
      <c r="AS251" s="11"/>
    </row>
    <row r="252" spans="1:45" x14ac:dyDescent="0.25">
      <c r="A252" s="11"/>
      <c r="B252" s="51" t="s">
        <v>1082</v>
      </c>
      <c r="C252" s="11"/>
      <c r="D252" s="51"/>
      <c r="E252" s="51"/>
      <c r="F252" s="5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9"/>
      <c r="R252" s="11"/>
      <c r="S252" s="11"/>
      <c r="T252" s="11"/>
      <c r="U252" s="11"/>
      <c r="V252" s="9"/>
      <c r="W252" s="11"/>
      <c r="X252" s="11"/>
      <c r="Y252" s="52"/>
      <c r="Z252" s="11"/>
      <c r="AA252" s="11"/>
      <c r="AB252" s="11"/>
      <c r="AC252" s="11"/>
      <c r="AD252" s="11"/>
      <c r="AE252" s="11"/>
      <c r="AF252" s="11"/>
      <c r="AG252" s="10"/>
      <c r="AH252" s="10"/>
      <c r="AI252" s="10"/>
      <c r="AJ252" s="11"/>
      <c r="AK252" s="11"/>
      <c r="AM252" s="11"/>
      <c r="AN252" s="11"/>
      <c r="AO252" s="11"/>
      <c r="AP252" s="11"/>
      <c r="AQ252" s="11"/>
      <c r="AR252" s="11"/>
      <c r="AS252" s="11"/>
    </row>
    <row r="253" spans="1:45" x14ac:dyDescent="0.25">
      <c r="A253" s="11"/>
      <c r="B253" s="51" t="s">
        <v>1082</v>
      </c>
      <c r="C253" s="11"/>
      <c r="D253" s="51"/>
      <c r="E253" s="51"/>
      <c r="F253" s="5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9"/>
      <c r="R253" s="11"/>
      <c r="S253" s="11"/>
      <c r="T253" s="11"/>
      <c r="U253" s="11"/>
      <c r="V253" s="9"/>
      <c r="W253" s="11"/>
      <c r="X253" s="11"/>
      <c r="Y253" s="52"/>
      <c r="Z253" s="11"/>
      <c r="AA253" s="11"/>
      <c r="AB253" s="11"/>
      <c r="AC253" s="11"/>
      <c r="AD253" s="11"/>
      <c r="AE253" s="11"/>
      <c r="AF253" s="11"/>
      <c r="AG253" s="10"/>
      <c r="AH253" s="10"/>
      <c r="AI253" s="10"/>
      <c r="AJ253" s="11"/>
      <c r="AK253" s="11"/>
      <c r="AM253" s="11"/>
      <c r="AN253" s="11"/>
      <c r="AO253" s="11"/>
      <c r="AP253" s="11"/>
      <c r="AQ253" s="11"/>
      <c r="AR253" s="11"/>
      <c r="AS253" s="11"/>
    </row>
    <row r="254" spans="1:45" x14ac:dyDescent="0.25">
      <c r="A254" s="11"/>
      <c r="B254" s="51" t="s">
        <v>1082</v>
      </c>
      <c r="C254" s="11"/>
      <c r="D254" s="51"/>
      <c r="E254" s="51"/>
      <c r="F254" s="5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9"/>
      <c r="R254" s="11"/>
      <c r="S254" s="11"/>
      <c r="T254" s="11"/>
      <c r="U254" s="11"/>
      <c r="V254" s="9"/>
      <c r="W254" s="11"/>
      <c r="X254" s="11"/>
      <c r="Y254" s="52"/>
      <c r="Z254" s="11"/>
      <c r="AA254" s="11"/>
      <c r="AB254" s="11"/>
      <c r="AC254" s="11"/>
      <c r="AD254" s="11"/>
      <c r="AE254" s="11"/>
      <c r="AF254" s="11"/>
      <c r="AG254" s="10"/>
      <c r="AH254" s="10"/>
      <c r="AI254" s="10"/>
      <c r="AJ254" s="11"/>
      <c r="AK254" s="11"/>
      <c r="AM254" s="11"/>
      <c r="AN254" s="11"/>
      <c r="AO254" s="11"/>
      <c r="AP254" s="11"/>
      <c r="AQ254" s="11"/>
      <c r="AR254" s="11"/>
      <c r="AS254" s="11"/>
    </row>
    <row r="255" spans="1:45" x14ac:dyDescent="0.25">
      <c r="A255" s="11"/>
      <c r="B255" s="51" t="s">
        <v>1082</v>
      </c>
      <c r="C255" s="11"/>
      <c r="D255" s="51"/>
      <c r="E255" s="51"/>
      <c r="F255" s="5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9"/>
      <c r="R255" s="11"/>
      <c r="S255" s="11"/>
      <c r="T255" s="11"/>
      <c r="U255" s="11"/>
      <c r="V255" s="9"/>
      <c r="W255" s="11"/>
      <c r="X255" s="11"/>
      <c r="Y255" s="52"/>
      <c r="Z255" s="11"/>
      <c r="AA255" s="11"/>
      <c r="AB255" s="11"/>
      <c r="AC255" s="11"/>
      <c r="AD255" s="11"/>
      <c r="AE255" s="11"/>
      <c r="AF255" s="11"/>
      <c r="AG255" s="10"/>
      <c r="AH255" s="10"/>
      <c r="AI255" s="10"/>
      <c r="AJ255" s="11"/>
      <c r="AK255" s="11"/>
      <c r="AM255" s="11"/>
      <c r="AN255" s="11"/>
      <c r="AO255" s="11"/>
      <c r="AP255" s="11"/>
      <c r="AQ255" s="11"/>
      <c r="AR255" s="11"/>
      <c r="AS255" s="11"/>
    </row>
    <row r="256" spans="1:45" x14ac:dyDescent="0.25">
      <c r="A256" s="11"/>
      <c r="B256" s="51" t="s">
        <v>1082</v>
      </c>
      <c r="C256" s="11"/>
      <c r="D256" s="51"/>
      <c r="E256" s="51"/>
      <c r="F256" s="5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9"/>
      <c r="R256" s="11"/>
      <c r="S256" s="11"/>
      <c r="T256" s="11"/>
      <c r="U256" s="11"/>
      <c r="V256" s="9"/>
      <c r="W256" s="11"/>
      <c r="X256" s="11"/>
      <c r="Y256" s="52"/>
      <c r="Z256" s="11"/>
      <c r="AA256" s="11"/>
      <c r="AB256" s="11"/>
      <c r="AC256" s="11"/>
      <c r="AD256" s="11"/>
      <c r="AE256" s="11"/>
      <c r="AF256" s="11"/>
      <c r="AG256" s="10"/>
      <c r="AH256" s="10"/>
      <c r="AI256" s="10"/>
      <c r="AJ256" s="11"/>
      <c r="AK256" s="11"/>
      <c r="AM256" s="11"/>
      <c r="AN256" s="11"/>
      <c r="AO256" s="11"/>
      <c r="AP256" s="11"/>
      <c r="AQ256" s="11"/>
      <c r="AR256" s="11"/>
      <c r="AS256" s="11"/>
    </row>
    <row r="257" spans="1:45" x14ac:dyDescent="0.25">
      <c r="A257" s="11"/>
      <c r="B257" s="51" t="s">
        <v>1082</v>
      </c>
      <c r="C257" s="11"/>
      <c r="D257" s="51"/>
      <c r="E257" s="51"/>
      <c r="F257" s="5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9"/>
      <c r="R257" s="11"/>
      <c r="S257" s="11"/>
      <c r="T257" s="11"/>
      <c r="U257" s="11"/>
      <c r="V257" s="9"/>
      <c r="W257" s="11"/>
      <c r="X257" s="11"/>
      <c r="Y257" s="52"/>
      <c r="Z257" s="11"/>
      <c r="AA257" s="11"/>
      <c r="AB257" s="11"/>
      <c r="AC257" s="11"/>
      <c r="AD257" s="11"/>
      <c r="AE257" s="11"/>
      <c r="AF257" s="11"/>
      <c r="AG257" s="10"/>
      <c r="AH257" s="10"/>
      <c r="AI257" s="10"/>
      <c r="AJ257" s="11"/>
      <c r="AK257" s="11"/>
      <c r="AM257" s="11"/>
      <c r="AN257" s="11"/>
      <c r="AO257" s="11"/>
      <c r="AP257" s="11"/>
      <c r="AQ257" s="11"/>
      <c r="AR257" s="11"/>
      <c r="AS257" s="11"/>
    </row>
    <row r="258" spans="1:45" x14ac:dyDescent="0.25">
      <c r="A258" s="11"/>
      <c r="B258" s="51" t="s">
        <v>1082</v>
      </c>
      <c r="C258" s="11"/>
      <c r="D258" s="51"/>
      <c r="E258" s="51"/>
      <c r="F258" s="5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9"/>
      <c r="R258" s="11"/>
      <c r="S258" s="11"/>
      <c r="T258" s="11"/>
      <c r="U258" s="11"/>
      <c r="V258" s="9"/>
      <c r="W258" s="11"/>
      <c r="X258" s="11"/>
      <c r="Y258" s="52"/>
      <c r="Z258" s="11"/>
      <c r="AA258" s="11"/>
      <c r="AB258" s="11"/>
      <c r="AC258" s="11"/>
      <c r="AD258" s="11"/>
      <c r="AE258" s="11"/>
      <c r="AF258" s="11"/>
      <c r="AG258" s="10"/>
      <c r="AH258" s="10"/>
      <c r="AI258" s="10"/>
      <c r="AJ258" s="11"/>
      <c r="AK258" s="11"/>
      <c r="AM258" s="11"/>
      <c r="AN258" s="11"/>
      <c r="AO258" s="11"/>
      <c r="AP258" s="11"/>
      <c r="AQ258" s="11"/>
      <c r="AR258" s="11"/>
      <c r="AS258" s="11"/>
    </row>
    <row r="259" spans="1:45" x14ac:dyDescent="0.25">
      <c r="A259" s="11"/>
      <c r="B259" s="51" t="s">
        <v>1082</v>
      </c>
      <c r="C259" s="11"/>
      <c r="D259" s="51"/>
      <c r="E259" s="51"/>
      <c r="F259" s="5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9"/>
      <c r="R259" s="11"/>
      <c r="S259" s="11"/>
      <c r="T259" s="11"/>
      <c r="U259" s="11"/>
      <c r="V259" s="9"/>
      <c r="W259" s="11"/>
      <c r="X259" s="11"/>
      <c r="Y259" s="52"/>
      <c r="Z259" s="11"/>
      <c r="AA259" s="11"/>
      <c r="AB259" s="11"/>
      <c r="AC259" s="11"/>
      <c r="AD259" s="11"/>
      <c r="AE259" s="11"/>
      <c r="AF259" s="11"/>
      <c r="AG259" s="10"/>
      <c r="AH259" s="10"/>
      <c r="AI259" s="10"/>
      <c r="AJ259" s="11"/>
      <c r="AK259" s="11"/>
      <c r="AM259" s="11"/>
      <c r="AN259" s="11"/>
      <c r="AO259" s="11"/>
      <c r="AP259" s="11"/>
      <c r="AQ259" s="11"/>
      <c r="AR259" s="11"/>
      <c r="AS259" s="11"/>
    </row>
    <row r="260" spans="1:45" x14ac:dyDescent="0.25">
      <c r="A260" s="11"/>
      <c r="B260" s="51" t="s">
        <v>1082</v>
      </c>
      <c r="C260" s="11"/>
      <c r="D260" s="51"/>
      <c r="E260" s="51"/>
      <c r="F260" s="5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9"/>
      <c r="R260" s="11"/>
      <c r="S260" s="11"/>
      <c r="T260" s="11"/>
      <c r="U260" s="11"/>
      <c r="V260" s="9"/>
      <c r="W260" s="11"/>
      <c r="X260" s="11"/>
      <c r="Y260" s="52"/>
      <c r="Z260" s="11"/>
      <c r="AA260" s="11"/>
      <c r="AB260" s="11"/>
      <c r="AC260" s="11"/>
      <c r="AD260" s="11"/>
      <c r="AE260" s="11"/>
      <c r="AF260" s="11"/>
      <c r="AG260" s="10"/>
      <c r="AH260" s="10"/>
      <c r="AI260" s="10"/>
      <c r="AJ260" s="11"/>
      <c r="AK260" s="11"/>
      <c r="AM260" s="11"/>
      <c r="AN260" s="11"/>
      <c r="AO260" s="11"/>
      <c r="AP260" s="11"/>
      <c r="AQ260" s="11"/>
      <c r="AR260" s="11"/>
      <c r="AS260" s="11"/>
    </row>
    <row r="261" spans="1:45" x14ac:dyDescent="0.25">
      <c r="A261" s="11"/>
      <c r="B261" s="51" t="s">
        <v>1082</v>
      </c>
      <c r="C261" s="11"/>
      <c r="D261" s="51"/>
      <c r="E261" s="51"/>
      <c r="F261" s="5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9"/>
      <c r="R261" s="11"/>
      <c r="S261" s="11"/>
      <c r="T261" s="11"/>
      <c r="U261" s="11"/>
      <c r="V261" s="9"/>
      <c r="W261" s="11"/>
      <c r="X261" s="11"/>
      <c r="Y261" s="52"/>
      <c r="Z261" s="11"/>
      <c r="AA261" s="11"/>
      <c r="AB261" s="11"/>
      <c r="AC261" s="11"/>
      <c r="AD261" s="11"/>
      <c r="AE261" s="11"/>
      <c r="AF261" s="11"/>
      <c r="AG261" s="10"/>
      <c r="AH261" s="10"/>
      <c r="AI261" s="10"/>
      <c r="AJ261" s="11"/>
      <c r="AK261" s="11"/>
      <c r="AM261" s="11"/>
      <c r="AN261" s="11"/>
      <c r="AO261" s="11"/>
      <c r="AP261" s="11"/>
      <c r="AQ261" s="11"/>
      <c r="AR261" s="11"/>
      <c r="AS261" s="11"/>
    </row>
    <row r="262" spans="1:45" x14ac:dyDescent="0.25">
      <c r="A262" s="11"/>
      <c r="B262" s="51" t="s">
        <v>1082</v>
      </c>
      <c r="C262" s="11"/>
      <c r="D262" s="51"/>
      <c r="E262" s="51"/>
      <c r="F262" s="5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9"/>
      <c r="R262" s="11"/>
      <c r="S262" s="11"/>
      <c r="T262" s="11"/>
      <c r="U262" s="11"/>
      <c r="V262" s="9"/>
      <c r="W262" s="11"/>
      <c r="X262" s="11"/>
      <c r="Y262" s="52"/>
      <c r="Z262" s="11"/>
      <c r="AA262" s="11"/>
      <c r="AB262" s="11"/>
      <c r="AC262" s="11"/>
      <c r="AD262" s="11"/>
      <c r="AE262" s="11"/>
      <c r="AF262" s="11"/>
      <c r="AG262" s="10"/>
      <c r="AH262" s="10"/>
      <c r="AI262" s="10"/>
      <c r="AJ262" s="11"/>
      <c r="AK262" s="11"/>
      <c r="AM262" s="11"/>
      <c r="AN262" s="11"/>
      <c r="AO262" s="11"/>
      <c r="AP262" s="11"/>
      <c r="AQ262" s="11"/>
      <c r="AR262" s="11"/>
      <c r="AS262" s="11"/>
    </row>
    <row r="263" spans="1:45" x14ac:dyDescent="0.25">
      <c r="A263" s="11"/>
      <c r="B263" s="51" t="s">
        <v>1082</v>
      </c>
      <c r="C263" s="11"/>
      <c r="D263" s="51"/>
      <c r="E263" s="51"/>
      <c r="F263" s="5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9"/>
      <c r="R263" s="11"/>
      <c r="S263" s="11"/>
      <c r="T263" s="11"/>
      <c r="U263" s="11"/>
      <c r="V263" s="9"/>
      <c r="W263" s="11"/>
      <c r="X263" s="11"/>
      <c r="Y263" s="52"/>
      <c r="Z263" s="11"/>
      <c r="AA263" s="11"/>
      <c r="AB263" s="11"/>
      <c r="AC263" s="11"/>
      <c r="AD263" s="11"/>
      <c r="AE263" s="11"/>
      <c r="AF263" s="11"/>
      <c r="AG263" s="10"/>
      <c r="AH263" s="10"/>
      <c r="AI263" s="10"/>
      <c r="AJ263" s="11"/>
      <c r="AK263" s="11"/>
      <c r="AM263" s="11"/>
      <c r="AN263" s="11"/>
      <c r="AO263" s="11"/>
      <c r="AP263" s="11"/>
      <c r="AQ263" s="11"/>
      <c r="AR263" s="11"/>
      <c r="AS263" s="11"/>
    </row>
    <row r="264" spans="1:45" x14ac:dyDescent="0.25">
      <c r="A264" s="11"/>
      <c r="B264" s="51" t="s">
        <v>1082</v>
      </c>
      <c r="C264" s="11"/>
      <c r="D264" s="51"/>
      <c r="E264" s="51"/>
      <c r="F264" s="5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9"/>
      <c r="R264" s="11"/>
      <c r="S264" s="11"/>
      <c r="T264" s="11"/>
      <c r="U264" s="11"/>
      <c r="V264" s="9"/>
      <c r="W264" s="11"/>
      <c r="X264" s="11"/>
      <c r="Y264" s="52"/>
      <c r="Z264" s="11"/>
      <c r="AA264" s="11"/>
      <c r="AB264" s="11"/>
      <c r="AC264" s="11"/>
      <c r="AD264" s="11"/>
      <c r="AE264" s="11"/>
      <c r="AF264" s="11"/>
      <c r="AG264" s="10"/>
      <c r="AH264" s="10"/>
      <c r="AI264" s="10"/>
      <c r="AJ264" s="11"/>
      <c r="AK264" s="11"/>
      <c r="AM264" s="11"/>
      <c r="AN264" s="11"/>
      <c r="AO264" s="11"/>
      <c r="AP264" s="11"/>
      <c r="AQ264" s="11"/>
      <c r="AR264" s="11"/>
      <c r="AS264" s="11"/>
    </row>
    <row r="265" spans="1:45" x14ac:dyDescent="0.25">
      <c r="A265" s="11"/>
      <c r="B265" s="51" t="s">
        <v>1082</v>
      </c>
      <c r="C265" s="11"/>
      <c r="D265" s="51"/>
      <c r="E265" s="51"/>
      <c r="F265" s="5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9"/>
      <c r="R265" s="11"/>
      <c r="S265" s="11"/>
      <c r="T265" s="11"/>
      <c r="U265" s="11"/>
      <c r="V265" s="9"/>
      <c r="W265" s="11"/>
      <c r="X265" s="11"/>
      <c r="Y265" s="52"/>
      <c r="Z265" s="11"/>
      <c r="AA265" s="11"/>
      <c r="AB265" s="11"/>
      <c r="AC265" s="11"/>
      <c r="AD265" s="11"/>
      <c r="AE265" s="11"/>
      <c r="AF265" s="11"/>
      <c r="AG265" s="10"/>
      <c r="AH265" s="10"/>
      <c r="AI265" s="10"/>
      <c r="AJ265" s="11"/>
      <c r="AK265" s="11"/>
      <c r="AM265" s="11"/>
      <c r="AN265" s="11"/>
      <c r="AO265" s="11"/>
      <c r="AP265" s="11"/>
      <c r="AQ265" s="11"/>
      <c r="AR265" s="11"/>
      <c r="AS265" s="11"/>
    </row>
    <row r="266" spans="1:45" x14ac:dyDescent="0.25">
      <c r="A266" s="11"/>
      <c r="B266" s="51" t="s">
        <v>1082</v>
      </c>
      <c r="C266" s="11"/>
      <c r="D266" s="51"/>
      <c r="E266" s="51"/>
      <c r="F266" s="5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9"/>
      <c r="R266" s="11"/>
      <c r="S266" s="11"/>
      <c r="T266" s="11"/>
      <c r="U266" s="11"/>
      <c r="V266" s="9"/>
      <c r="W266" s="11"/>
      <c r="X266" s="11"/>
      <c r="Y266" s="52"/>
      <c r="Z266" s="11"/>
      <c r="AA266" s="11"/>
      <c r="AB266" s="11"/>
      <c r="AC266" s="11"/>
      <c r="AD266" s="11"/>
      <c r="AE266" s="11"/>
      <c r="AF266" s="11"/>
      <c r="AG266" s="10"/>
      <c r="AH266" s="10"/>
      <c r="AI266" s="10"/>
      <c r="AJ266" s="11"/>
      <c r="AK266" s="11"/>
      <c r="AM266" s="11"/>
      <c r="AN266" s="11"/>
      <c r="AO266" s="11"/>
      <c r="AP266" s="11"/>
      <c r="AQ266" s="11"/>
      <c r="AR266" s="11"/>
      <c r="AS266" s="11"/>
    </row>
    <row r="267" spans="1:45" x14ac:dyDescent="0.25">
      <c r="A267" s="11"/>
      <c r="B267" s="51" t="s">
        <v>1082</v>
      </c>
      <c r="C267" s="11"/>
      <c r="D267" s="51"/>
      <c r="E267" s="51"/>
      <c r="F267" s="5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9"/>
      <c r="R267" s="11"/>
      <c r="S267" s="11"/>
      <c r="T267" s="11"/>
      <c r="U267" s="11"/>
      <c r="V267" s="9"/>
      <c r="W267" s="11"/>
      <c r="X267" s="11"/>
      <c r="Y267" s="52"/>
      <c r="Z267" s="11"/>
      <c r="AA267" s="11"/>
      <c r="AB267" s="11"/>
      <c r="AC267" s="11"/>
      <c r="AD267" s="11"/>
      <c r="AE267" s="11"/>
      <c r="AF267" s="11"/>
      <c r="AG267" s="10"/>
      <c r="AH267" s="10"/>
      <c r="AI267" s="10"/>
      <c r="AJ267" s="11"/>
      <c r="AK267" s="11"/>
      <c r="AM267" s="11"/>
      <c r="AN267" s="11"/>
      <c r="AO267" s="11"/>
      <c r="AP267" s="11"/>
      <c r="AQ267" s="11"/>
      <c r="AR267" s="11"/>
      <c r="AS267" s="11"/>
    </row>
    <row r="268" spans="1:45" x14ac:dyDescent="0.25">
      <c r="A268" s="11"/>
      <c r="B268" s="51" t="s">
        <v>1082</v>
      </c>
      <c r="C268" s="11"/>
      <c r="D268" s="51"/>
      <c r="E268" s="51"/>
      <c r="F268" s="5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9"/>
      <c r="R268" s="11"/>
      <c r="S268" s="11"/>
      <c r="T268" s="11"/>
      <c r="U268" s="11"/>
      <c r="V268" s="9"/>
      <c r="W268" s="11"/>
      <c r="X268" s="11"/>
      <c r="Y268" s="52"/>
      <c r="Z268" s="11"/>
      <c r="AA268" s="11"/>
      <c r="AB268" s="11"/>
      <c r="AC268" s="11"/>
      <c r="AD268" s="11"/>
      <c r="AE268" s="11"/>
      <c r="AF268" s="11"/>
      <c r="AG268" s="10"/>
      <c r="AH268" s="10"/>
      <c r="AI268" s="10"/>
      <c r="AJ268" s="11"/>
      <c r="AK268" s="11"/>
      <c r="AM268" s="11"/>
      <c r="AN268" s="11"/>
      <c r="AO268" s="11"/>
      <c r="AP268" s="11"/>
      <c r="AQ268" s="11"/>
      <c r="AR268" s="11"/>
      <c r="AS268" s="11"/>
    </row>
    <row r="269" spans="1:45" x14ac:dyDescent="0.25">
      <c r="A269" s="11"/>
      <c r="B269" s="51" t="s">
        <v>1082</v>
      </c>
      <c r="C269" s="11"/>
      <c r="D269" s="51"/>
      <c r="E269" s="51"/>
      <c r="F269" s="5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9"/>
      <c r="R269" s="11"/>
      <c r="S269" s="11"/>
      <c r="T269" s="11"/>
      <c r="U269" s="11"/>
      <c r="V269" s="9"/>
      <c r="W269" s="11"/>
      <c r="X269" s="11"/>
      <c r="Y269" s="52"/>
      <c r="Z269" s="11"/>
      <c r="AA269" s="11"/>
      <c r="AB269" s="11"/>
      <c r="AC269" s="11"/>
      <c r="AD269" s="11"/>
      <c r="AE269" s="11"/>
      <c r="AF269" s="11"/>
      <c r="AG269" s="10"/>
      <c r="AH269" s="10"/>
      <c r="AI269" s="10"/>
      <c r="AJ269" s="11"/>
      <c r="AK269" s="11"/>
      <c r="AM269" s="11"/>
      <c r="AN269" s="11"/>
      <c r="AO269" s="11"/>
      <c r="AP269" s="11"/>
      <c r="AQ269" s="11"/>
      <c r="AR269" s="11"/>
      <c r="AS269" s="11"/>
    </row>
    <row r="270" spans="1:45" x14ac:dyDescent="0.25">
      <c r="A270" s="11"/>
      <c r="B270" s="51" t="s">
        <v>1082</v>
      </c>
      <c r="C270" s="11"/>
      <c r="D270" s="51"/>
      <c r="E270" s="51"/>
      <c r="F270" s="5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9"/>
      <c r="R270" s="11"/>
      <c r="S270" s="11"/>
      <c r="T270" s="11"/>
      <c r="U270" s="11"/>
      <c r="V270" s="9"/>
      <c r="W270" s="11"/>
      <c r="X270" s="11"/>
      <c r="Y270" s="52"/>
      <c r="Z270" s="11"/>
      <c r="AA270" s="11"/>
      <c r="AB270" s="11"/>
      <c r="AC270" s="11"/>
      <c r="AD270" s="11"/>
      <c r="AE270" s="11"/>
      <c r="AF270" s="11"/>
      <c r="AG270" s="10"/>
      <c r="AH270" s="10"/>
      <c r="AI270" s="10"/>
      <c r="AJ270" s="11"/>
      <c r="AK270" s="11"/>
      <c r="AM270" s="11"/>
      <c r="AN270" s="11"/>
      <c r="AO270" s="11"/>
      <c r="AP270" s="11"/>
      <c r="AQ270" s="11"/>
      <c r="AR270" s="11"/>
      <c r="AS270" s="11"/>
    </row>
    <row r="271" spans="1:45" x14ac:dyDescent="0.25">
      <c r="A271" s="11"/>
      <c r="B271" s="51" t="s">
        <v>1082</v>
      </c>
      <c r="C271" s="11"/>
      <c r="D271" s="51"/>
      <c r="E271" s="51"/>
      <c r="F271" s="5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9"/>
      <c r="R271" s="11"/>
      <c r="S271" s="11"/>
      <c r="T271" s="11"/>
      <c r="U271" s="11"/>
      <c r="V271" s="9"/>
      <c r="W271" s="11"/>
      <c r="X271" s="11"/>
      <c r="Y271" s="52"/>
      <c r="Z271" s="11"/>
      <c r="AA271" s="11"/>
      <c r="AB271" s="11"/>
      <c r="AC271" s="11"/>
      <c r="AD271" s="11"/>
      <c r="AE271" s="11"/>
      <c r="AF271" s="11"/>
      <c r="AG271" s="10"/>
      <c r="AH271" s="10"/>
      <c r="AI271" s="10"/>
      <c r="AJ271" s="11"/>
      <c r="AK271" s="11"/>
      <c r="AM271" s="11"/>
      <c r="AN271" s="11"/>
      <c r="AO271" s="11"/>
      <c r="AP271" s="11"/>
      <c r="AQ271" s="11"/>
      <c r="AR271" s="11"/>
      <c r="AS271" s="11"/>
    </row>
    <row r="272" spans="1:45" x14ac:dyDescent="0.25">
      <c r="A272" s="11"/>
      <c r="B272" s="51" t="s">
        <v>1082</v>
      </c>
      <c r="C272" s="11"/>
      <c r="D272" s="51"/>
      <c r="E272" s="51"/>
      <c r="F272" s="5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9"/>
      <c r="R272" s="11"/>
      <c r="S272" s="11"/>
      <c r="T272" s="11"/>
      <c r="U272" s="11"/>
      <c r="V272" s="9"/>
      <c r="W272" s="11"/>
      <c r="X272" s="11"/>
      <c r="Y272" s="52"/>
      <c r="Z272" s="11"/>
      <c r="AA272" s="11"/>
      <c r="AB272" s="11"/>
      <c r="AC272" s="11"/>
      <c r="AD272" s="11"/>
      <c r="AE272" s="11"/>
      <c r="AF272" s="11"/>
      <c r="AG272" s="10"/>
      <c r="AH272" s="10"/>
      <c r="AI272" s="10"/>
      <c r="AJ272" s="11"/>
      <c r="AK272" s="11"/>
      <c r="AM272" s="11"/>
      <c r="AN272" s="11"/>
      <c r="AO272" s="11"/>
      <c r="AP272" s="11"/>
      <c r="AQ272" s="11"/>
      <c r="AR272" s="11"/>
      <c r="AS272" s="11"/>
    </row>
    <row r="273" spans="1:45" x14ac:dyDescent="0.25">
      <c r="A273" s="11"/>
      <c r="B273" s="51" t="s">
        <v>1082</v>
      </c>
      <c r="C273" s="11"/>
      <c r="D273" s="51"/>
      <c r="E273" s="51"/>
      <c r="F273" s="5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9"/>
      <c r="R273" s="11"/>
      <c r="S273" s="11"/>
      <c r="T273" s="11"/>
      <c r="U273" s="11"/>
      <c r="V273" s="9"/>
      <c r="W273" s="11"/>
      <c r="X273" s="11"/>
      <c r="Y273" s="52"/>
      <c r="Z273" s="11"/>
      <c r="AA273" s="11"/>
      <c r="AB273" s="11"/>
      <c r="AC273" s="11"/>
      <c r="AD273" s="11"/>
      <c r="AE273" s="11"/>
      <c r="AF273" s="11"/>
      <c r="AG273" s="10"/>
      <c r="AH273" s="10"/>
      <c r="AI273" s="10"/>
      <c r="AJ273" s="11"/>
      <c r="AK273" s="11"/>
      <c r="AM273" s="11"/>
      <c r="AN273" s="11"/>
      <c r="AO273" s="11"/>
      <c r="AP273" s="11"/>
      <c r="AQ273" s="11"/>
      <c r="AR273" s="11"/>
      <c r="AS273" s="11"/>
    </row>
    <row r="274" spans="1:45" x14ac:dyDescent="0.25">
      <c r="A274" s="11"/>
      <c r="B274" s="51" t="s">
        <v>1082</v>
      </c>
      <c r="C274" s="11"/>
      <c r="D274" s="51"/>
      <c r="E274" s="51"/>
      <c r="F274" s="5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9"/>
      <c r="R274" s="11"/>
      <c r="S274" s="11"/>
      <c r="T274" s="11"/>
      <c r="U274" s="11"/>
      <c r="V274" s="9"/>
      <c r="W274" s="11"/>
      <c r="X274" s="11"/>
      <c r="Y274" s="52"/>
      <c r="Z274" s="11"/>
      <c r="AA274" s="11"/>
      <c r="AB274" s="11"/>
      <c r="AC274" s="11"/>
      <c r="AD274" s="11"/>
      <c r="AE274" s="11"/>
      <c r="AF274" s="11"/>
      <c r="AG274" s="10"/>
      <c r="AH274" s="10"/>
      <c r="AI274" s="10"/>
      <c r="AJ274" s="11"/>
      <c r="AK274" s="11"/>
      <c r="AM274" s="11"/>
      <c r="AN274" s="11"/>
      <c r="AO274" s="11"/>
      <c r="AP274" s="11"/>
      <c r="AQ274" s="11"/>
      <c r="AR274" s="11"/>
      <c r="AS274" s="11"/>
    </row>
    <row r="275" spans="1:45" x14ac:dyDescent="0.25">
      <c r="A275" s="11"/>
      <c r="B275" s="51" t="s">
        <v>1082</v>
      </c>
      <c r="C275" s="11"/>
      <c r="D275" s="51"/>
      <c r="E275" s="51"/>
      <c r="F275" s="5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9"/>
      <c r="R275" s="11"/>
      <c r="S275" s="11"/>
      <c r="T275" s="11"/>
      <c r="U275" s="11"/>
      <c r="V275" s="9"/>
      <c r="W275" s="11"/>
      <c r="X275" s="11"/>
      <c r="Y275" s="52"/>
      <c r="Z275" s="11"/>
      <c r="AA275" s="11"/>
      <c r="AB275" s="11"/>
      <c r="AC275" s="11"/>
      <c r="AD275" s="11"/>
      <c r="AE275" s="11"/>
      <c r="AF275" s="11"/>
      <c r="AG275" s="10"/>
      <c r="AH275" s="10"/>
      <c r="AI275" s="10"/>
      <c r="AJ275" s="11"/>
      <c r="AK275" s="11"/>
      <c r="AM275" s="11"/>
      <c r="AN275" s="11"/>
      <c r="AO275" s="11"/>
      <c r="AP275" s="11"/>
      <c r="AQ275" s="11"/>
      <c r="AR275" s="11"/>
      <c r="AS275" s="11"/>
    </row>
    <row r="276" spans="1:45" x14ac:dyDescent="0.25">
      <c r="A276" s="11"/>
      <c r="B276" s="51" t="s">
        <v>1082</v>
      </c>
      <c r="C276" s="11"/>
      <c r="D276" s="51"/>
      <c r="E276" s="51"/>
      <c r="F276" s="5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9"/>
      <c r="R276" s="11"/>
      <c r="S276" s="11"/>
      <c r="T276" s="11"/>
      <c r="U276" s="11"/>
      <c r="V276" s="9"/>
      <c r="W276" s="11"/>
      <c r="X276" s="11"/>
      <c r="Y276" s="52"/>
      <c r="Z276" s="11"/>
      <c r="AA276" s="11"/>
      <c r="AB276" s="11"/>
      <c r="AC276" s="11"/>
      <c r="AD276" s="11"/>
      <c r="AE276" s="11"/>
      <c r="AF276" s="11"/>
      <c r="AG276" s="10"/>
      <c r="AH276" s="10"/>
      <c r="AI276" s="10"/>
      <c r="AJ276" s="11"/>
      <c r="AK276" s="11"/>
      <c r="AM276" s="11"/>
      <c r="AN276" s="11"/>
      <c r="AO276" s="11"/>
      <c r="AP276" s="11"/>
      <c r="AQ276" s="11"/>
      <c r="AR276" s="11"/>
      <c r="AS276" s="11"/>
    </row>
    <row r="277" spans="1:45" x14ac:dyDescent="0.25">
      <c r="A277" s="11"/>
      <c r="B277" s="51" t="s">
        <v>1082</v>
      </c>
      <c r="C277" s="11"/>
      <c r="D277" s="51"/>
      <c r="E277" s="51"/>
      <c r="F277" s="5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9"/>
      <c r="R277" s="11"/>
      <c r="S277" s="11"/>
      <c r="T277" s="11"/>
      <c r="U277" s="11"/>
      <c r="V277" s="9"/>
      <c r="W277" s="11"/>
      <c r="X277" s="11"/>
      <c r="Y277" s="52"/>
      <c r="Z277" s="11"/>
      <c r="AA277" s="11"/>
      <c r="AB277" s="11"/>
      <c r="AC277" s="11"/>
      <c r="AD277" s="11"/>
      <c r="AE277" s="11"/>
      <c r="AF277" s="11"/>
      <c r="AG277" s="10"/>
      <c r="AH277" s="10"/>
      <c r="AI277" s="10"/>
      <c r="AJ277" s="11"/>
      <c r="AK277" s="11"/>
      <c r="AM277" s="11"/>
      <c r="AN277" s="11"/>
      <c r="AO277" s="11"/>
      <c r="AP277" s="11"/>
      <c r="AQ277" s="11"/>
      <c r="AR277" s="11"/>
      <c r="AS277" s="11"/>
    </row>
    <row r="278" spans="1:45" x14ac:dyDescent="0.25">
      <c r="A278" s="11"/>
      <c r="B278" s="51" t="s">
        <v>1082</v>
      </c>
      <c r="C278" s="11"/>
      <c r="D278" s="51"/>
      <c r="E278" s="51"/>
      <c r="F278" s="5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9"/>
      <c r="R278" s="11"/>
      <c r="S278" s="11"/>
      <c r="T278" s="11"/>
      <c r="U278" s="11"/>
      <c r="V278" s="9"/>
      <c r="W278" s="11"/>
      <c r="X278" s="11"/>
      <c r="Y278" s="52"/>
      <c r="Z278" s="11"/>
      <c r="AA278" s="11"/>
      <c r="AB278" s="11"/>
      <c r="AC278" s="11"/>
      <c r="AD278" s="11"/>
      <c r="AE278" s="11"/>
      <c r="AF278" s="11"/>
      <c r="AG278" s="10"/>
      <c r="AH278" s="10"/>
      <c r="AI278" s="10"/>
      <c r="AJ278" s="11"/>
      <c r="AK278" s="11"/>
      <c r="AM278" s="11"/>
      <c r="AN278" s="11"/>
      <c r="AO278" s="11"/>
      <c r="AP278" s="11"/>
      <c r="AQ278" s="11"/>
      <c r="AR278" s="11"/>
      <c r="AS278" s="11"/>
    </row>
    <row r="279" spans="1:45" x14ac:dyDescent="0.25">
      <c r="A279" s="11"/>
      <c r="B279" s="51" t="s">
        <v>1082</v>
      </c>
      <c r="C279" s="11"/>
      <c r="D279" s="51"/>
      <c r="E279" s="51"/>
      <c r="F279" s="5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9"/>
      <c r="R279" s="11"/>
      <c r="S279" s="11"/>
      <c r="T279" s="11"/>
      <c r="U279" s="11"/>
      <c r="V279" s="9"/>
      <c r="W279" s="11"/>
      <c r="X279" s="11"/>
      <c r="Y279" s="52"/>
      <c r="Z279" s="11"/>
      <c r="AA279" s="11"/>
      <c r="AB279" s="11"/>
      <c r="AC279" s="11"/>
      <c r="AD279" s="11"/>
      <c r="AE279" s="11"/>
      <c r="AF279" s="11"/>
      <c r="AG279" s="10"/>
      <c r="AH279" s="10"/>
      <c r="AI279" s="10"/>
      <c r="AJ279" s="11"/>
      <c r="AK279" s="11"/>
      <c r="AM279" s="11"/>
      <c r="AN279" s="11"/>
      <c r="AO279" s="11"/>
      <c r="AP279" s="11"/>
      <c r="AQ279" s="11"/>
      <c r="AR279" s="11"/>
      <c r="AS279" s="11"/>
    </row>
    <row r="280" spans="1:45" x14ac:dyDescent="0.25">
      <c r="A280" s="11"/>
      <c r="B280" s="51" t="s">
        <v>1082</v>
      </c>
      <c r="C280" s="11"/>
      <c r="D280" s="51"/>
      <c r="E280" s="51"/>
      <c r="F280" s="5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9"/>
      <c r="R280" s="11"/>
      <c r="S280" s="11"/>
      <c r="T280" s="11"/>
      <c r="U280" s="11"/>
      <c r="V280" s="9"/>
      <c r="W280" s="11"/>
      <c r="X280" s="11"/>
      <c r="Y280" s="52"/>
      <c r="Z280" s="11"/>
      <c r="AA280" s="11"/>
      <c r="AB280" s="11"/>
      <c r="AC280" s="11"/>
      <c r="AD280" s="11"/>
      <c r="AE280" s="11"/>
      <c r="AF280" s="11"/>
      <c r="AG280" s="10"/>
      <c r="AH280" s="10"/>
      <c r="AI280" s="10"/>
      <c r="AJ280" s="11"/>
      <c r="AK280" s="11"/>
      <c r="AM280" s="11"/>
      <c r="AN280" s="11"/>
      <c r="AO280" s="11"/>
      <c r="AP280" s="11"/>
      <c r="AQ280" s="11"/>
      <c r="AR280" s="11"/>
      <c r="AS280" s="11"/>
    </row>
    <row r="281" spans="1:45" x14ac:dyDescent="0.25">
      <c r="A281" s="11"/>
      <c r="B281" s="51" t="s">
        <v>1082</v>
      </c>
      <c r="C281" s="11"/>
      <c r="D281" s="51"/>
      <c r="E281" s="51"/>
      <c r="F281" s="5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9"/>
      <c r="R281" s="11"/>
      <c r="S281" s="11"/>
      <c r="T281" s="11"/>
      <c r="U281" s="11"/>
      <c r="V281" s="9"/>
      <c r="W281" s="11"/>
      <c r="X281" s="11"/>
      <c r="Y281" s="52"/>
      <c r="Z281" s="11"/>
      <c r="AA281" s="11"/>
      <c r="AB281" s="11"/>
      <c r="AC281" s="11"/>
      <c r="AD281" s="11"/>
      <c r="AE281" s="11"/>
      <c r="AF281" s="11"/>
      <c r="AG281" s="10"/>
      <c r="AH281" s="10"/>
      <c r="AI281" s="10"/>
      <c r="AJ281" s="11"/>
      <c r="AK281" s="11"/>
      <c r="AM281" s="11"/>
      <c r="AN281" s="11"/>
      <c r="AO281" s="11"/>
      <c r="AP281" s="11"/>
      <c r="AQ281" s="11"/>
      <c r="AR281" s="11"/>
      <c r="AS281" s="11"/>
    </row>
    <row r="282" spans="1:45" x14ac:dyDescent="0.25">
      <c r="A282" s="11"/>
      <c r="B282" s="51" t="s">
        <v>1082</v>
      </c>
      <c r="C282" s="11"/>
      <c r="D282" s="51"/>
      <c r="E282" s="51"/>
      <c r="F282" s="5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9"/>
      <c r="R282" s="11"/>
      <c r="S282" s="11"/>
      <c r="T282" s="11"/>
      <c r="U282" s="11"/>
      <c r="V282" s="9"/>
      <c r="W282" s="11"/>
      <c r="X282" s="11"/>
      <c r="Y282" s="52"/>
      <c r="Z282" s="11"/>
      <c r="AA282" s="11"/>
      <c r="AB282" s="11"/>
      <c r="AC282" s="11"/>
      <c r="AD282" s="11"/>
      <c r="AE282" s="11"/>
      <c r="AF282" s="11"/>
      <c r="AG282" s="10"/>
      <c r="AH282" s="10"/>
      <c r="AI282" s="10"/>
      <c r="AJ282" s="11"/>
      <c r="AK282" s="11"/>
      <c r="AM282" s="11"/>
      <c r="AN282" s="11"/>
      <c r="AO282" s="11"/>
      <c r="AP282" s="11"/>
      <c r="AQ282" s="11"/>
      <c r="AR282" s="11"/>
      <c r="AS282" s="11"/>
    </row>
    <row r="283" spans="1:45" x14ac:dyDescent="0.25">
      <c r="A283" s="11"/>
      <c r="B283" s="51" t="s">
        <v>1082</v>
      </c>
      <c r="C283" s="11"/>
      <c r="D283" s="51"/>
      <c r="E283" s="51"/>
      <c r="F283" s="5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9"/>
      <c r="R283" s="11"/>
      <c r="S283" s="11"/>
      <c r="T283" s="11"/>
      <c r="U283" s="11"/>
      <c r="V283" s="9"/>
      <c r="W283" s="11"/>
      <c r="X283" s="11"/>
      <c r="Y283" s="52"/>
      <c r="Z283" s="11"/>
      <c r="AA283" s="11"/>
      <c r="AB283" s="11"/>
      <c r="AC283" s="11"/>
      <c r="AD283" s="11"/>
      <c r="AE283" s="11"/>
      <c r="AF283" s="11"/>
      <c r="AG283" s="10"/>
      <c r="AH283" s="10"/>
      <c r="AI283" s="10"/>
      <c r="AJ283" s="11"/>
      <c r="AK283" s="11"/>
      <c r="AM283" s="11"/>
      <c r="AN283" s="11"/>
      <c r="AO283" s="11"/>
      <c r="AP283" s="11"/>
      <c r="AQ283" s="11"/>
      <c r="AR283" s="11"/>
      <c r="AS283" s="11"/>
    </row>
    <row r="284" spans="1:45" x14ac:dyDescent="0.25">
      <c r="A284" s="11"/>
      <c r="B284" s="51" t="s">
        <v>1082</v>
      </c>
      <c r="C284" s="11"/>
      <c r="D284" s="51"/>
      <c r="E284" s="51"/>
      <c r="F284" s="5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9"/>
      <c r="R284" s="11"/>
      <c r="S284" s="11"/>
      <c r="T284" s="11"/>
      <c r="U284" s="11"/>
      <c r="V284" s="9"/>
      <c r="W284" s="11"/>
      <c r="X284" s="11"/>
      <c r="Y284" s="52"/>
      <c r="Z284" s="11"/>
      <c r="AA284" s="11"/>
      <c r="AB284" s="11"/>
      <c r="AC284" s="11"/>
      <c r="AD284" s="11"/>
      <c r="AE284" s="11"/>
      <c r="AF284" s="11"/>
      <c r="AG284" s="10"/>
      <c r="AH284" s="10"/>
      <c r="AI284" s="10"/>
      <c r="AJ284" s="11"/>
      <c r="AK284" s="11"/>
      <c r="AM284" s="11"/>
      <c r="AN284" s="11"/>
      <c r="AO284" s="11"/>
      <c r="AP284" s="11"/>
      <c r="AQ284" s="11"/>
      <c r="AR284" s="11"/>
      <c r="AS284" s="11"/>
    </row>
    <row r="285" spans="1:45" x14ac:dyDescent="0.25">
      <c r="A285" s="11"/>
      <c r="B285" s="51" t="s">
        <v>1082</v>
      </c>
      <c r="C285" s="11"/>
      <c r="D285" s="51"/>
      <c r="E285" s="51"/>
      <c r="F285" s="5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9"/>
      <c r="R285" s="11"/>
      <c r="S285" s="11"/>
      <c r="T285" s="11"/>
      <c r="U285" s="11"/>
      <c r="V285" s="9"/>
      <c r="W285" s="11"/>
      <c r="X285" s="11"/>
      <c r="Y285" s="52"/>
      <c r="Z285" s="11"/>
      <c r="AA285" s="11"/>
      <c r="AB285" s="11"/>
      <c r="AC285" s="11"/>
      <c r="AD285" s="11"/>
      <c r="AE285" s="11"/>
      <c r="AF285" s="11"/>
      <c r="AG285" s="10"/>
      <c r="AH285" s="10"/>
      <c r="AI285" s="10"/>
      <c r="AJ285" s="11"/>
      <c r="AK285" s="11"/>
      <c r="AM285" s="11"/>
      <c r="AN285" s="11"/>
      <c r="AO285" s="11"/>
      <c r="AP285" s="11"/>
      <c r="AQ285" s="11"/>
      <c r="AR285" s="11"/>
      <c r="AS285" s="11"/>
    </row>
    <row r="286" spans="1:45" x14ac:dyDescent="0.25">
      <c r="A286" s="11"/>
      <c r="B286" s="51" t="s">
        <v>1082</v>
      </c>
      <c r="C286" s="11"/>
      <c r="D286" s="51"/>
      <c r="E286" s="51"/>
      <c r="F286" s="5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9"/>
      <c r="R286" s="11"/>
      <c r="S286" s="11"/>
      <c r="T286" s="11"/>
      <c r="U286" s="11"/>
      <c r="V286" s="9"/>
      <c r="W286" s="11"/>
      <c r="X286" s="11"/>
      <c r="Y286" s="52"/>
      <c r="Z286" s="11"/>
      <c r="AA286" s="11"/>
      <c r="AB286" s="11"/>
      <c r="AC286" s="11"/>
      <c r="AD286" s="11"/>
      <c r="AE286" s="11"/>
      <c r="AF286" s="11"/>
      <c r="AG286" s="10"/>
      <c r="AH286" s="10"/>
      <c r="AI286" s="10"/>
      <c r="AJ286" s="11"/>
      <c r="AK286" s="11"/>
      <c r="AM286" s="11"/>
      <c r="AN286" s="11"/>
      <c r="AO286" s="11"/>
      <c r="AP286" s="11"/>
      <c r="AQ286" s="11"/>
      <c r="AR286" s="11"/>
      <c r="AS286" s="11"/>
    </row>
    <row r="287" spans="1:45" x14ac:dyDescent="0.25">
      <c r="A287" s="11"/>
      <c r="B287" s="51" t="s">
        <v>1082</v>
      </c>
      <c r="C287" s="11"/>
      <c r="D287" s="51"/>
      <c r="E287" s="51"/>
      <c r="F287" s="5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9"/>
      <c r="R287" s="11"/>
      <c r="S287" s="11"/>
      <c r="T287" s="11"/>
      <c r="U287" s="11"/>
      <c r="V287" s="9"/>
      <c r="W287" s="11"/>
      <c r="X287" s="11"/>
      <c r="Y287" s="52"/>
      <c r="Z287" s="11"/>
      <c r="AA287" s="11"/>
      <c r="AB287" s="11"/>
      <c r="AC287" s="11"/>
      <c r="AD287" s="11"/>
      <c r="AE287" s="11"/>
      <c r="AF287" s="11"/>
      <c r="AG287" s="10"/>
      <c r="AH287" s="10"/>
      <c r="AI287" s="10"/>
      <c r="AJ287" s="11"/>
      <c r="AK287" s="11"/>
      <c r="AM287" s="11"/>
      <c r="AN287" s="11"/>
      <c r="AO287" s="11"/>
      <c r="AP287" s="11"/>
      <c r="AQ287" s="11"/>
      <c r="AR287" s="11"/>
      <c r="AS287" s="11"/>
    </row>
    <row r="288" spans="1:45" x14ac:dyDescent="0.25">
      <c r="A288" s="11"/>
      <c r="B288" s="51" t="s">
        <v>1082</v>
      </c>
      <c r="C288" s="11"/>
      <c r="D288" s="51"/>
      <c r="E288" s="51"/>
      <c r="F288" s="5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9"/>
      <c r="R288" s="11"/>
      <c r="S288" s="11"/>
      <c r="T288" s="11"/>
      <c r="U288" s="11"/>
      <c r="V288" s="9"/>
      <c r="W288" s="11"/>
      <c r="X288" s="11"/>
      <c r="Y288" s="52"/>
      <c r="Z288" s="11"/>
      <c r="AA288" s="11"/>
      <c r="AB288" s="11"/>
      <c r="AC288" s="11"/>
      <c r="AD288" s="11"/>
      <c r="AE288" s="11"/>
      <c r="AF288" s="11"/>
      <c r="AG288" s="10"/>
      <c r="AH288" s="10"/>
      <c r="AI288" s="10"/>
      <c r="AJ288" s="11"/>
      <c r="AK288" s="11"/>
      <c r="AM288" s="11"/>
      <c r="AN288" s="11"/>
      <c r="AO288" s="11"/>
      <c r="AP288" s="11"/>
      <c r="AQ288" s="11"/>
      <c r="AR288" s="11"/>
      <c r="AS288" s="11"/>
    </row>
    <row r="289" spans="1:45" x14ac:dyDescent="0.25">
      <c r="A289" s="11"/>
      <c r="B289" s="51" t="s">
        <v>1082</v>
      </c>
      <c r="C289" s="11"/>
      <c r="D289" s="51"/>
      <c r="E289" s="51"/>
      <c r="F289" s="5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9"/>
      <c r="R289" s="11"/>
      <c r="S289" s="11"/>
      <c r="T289" s="11"/>
      <c r="U289" s="11"/>
      <c r="V289" s="9"/>
      <c r="W289" s="11"/>
      <c r="X289" s="11"/>
      <c r="Y289" s="52"/>
      <c r="Z289" s="11"/>
      <c r="AA289" s="11"/>
      <c r="AB289" s="11"/>
      <c r="AC289" s="11"/>
      <c r="AD289" s="11"/>
      <c r="AE289" s="11"/>
      <c r="AF289" s="11"/>
      <c r="AG289" s="10"/>
      <c r="AH289" s="10"/>
      <c r="AI289" s="10"/>
      <c r="AJ289" s="11"/>
      <c r="AK289" s="11"/>
      <c r="AM289" s="11"/>
      <c r="AN289" s="11"/>
      <c r="AO289" s="11"/>
      <c r="AP289" s="11"/>
      <c r="AQ289" s="11"/>
      <c r="AR289" s="11"/>
      <c r="AS289" s="11"/>
    </row>
    <row r="290" spans="1:45" x14ac:dyDescent="0.25">
      <c r="A290" s="11"/>
      <c r="B290" s="51" t="s">
        <v>1082</v>
      </c>
      <c r="C290" s="11"/>
      <c r="D290" s="51"/>
      <c r="E290" s="51"/>
      <c r="F290" s="5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9"/>
      <c r="R290" s="11"/>
      <c r="S290" s="11"/>
      <c r="T290" s="11"/>
      <c r="U290" s="11"/>
      <c r="V290" s="9"/>
      <c r="W290" s="11"/>
      <c r="X290" s="11"/>
      <c r="Y290" s="52"/>
      <c r="Z290" s="11"/>
      <c r="AA290" s="11"/>
      <c r="AB290" s="11"/>
      <c r="AC290" s="11"/>
      <c r="AD290" s="11"/>
      <c r="AE290" s="11"/>
      <c r="AF290" s="11"/>
      <c r="AG290" s="10"/>
      <c r="AH290" s="10"/>
      <c r="AI290" s="10"/>
      <c r="AJ290" s="11"/>
      <c r="AK290" s="11"/>
      <c r="AM290" s="11"/>
      <c r="AN290" s="11"/>
      <c r="AO290" s="11"/>
      <c r="AP290" s="11"/>
      <c r="AQ290" s="11"/>
      <c r="AR290" s="11"/>
      <c r="AS290" s="11"/>
    </row>
    <row r="291" spans="1:45" x14ac:dyDescent="0.25">
      <c r="A291" s="11"/>
      <c r="B291" s="51" t="s">
        <v>1082</v>
      </c>
      <c r="C291" s="11"/>
      <c r="D291" s="51"/>
      <c r="E291" s="51"/>
      <c r="F291" s="5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9"/>
      <c r="R291" s="11"/>
      <c r="S291" s="11"/>
      <c r="T291" s="11"/>
      <c r="U291" s="11"/>
      <c r="V291" s="9"/>
      <c r="W291" s="11"/>
      <c r="X291" s="11"/>
      <c r="Y291" s="52"/>
      <c r="Z291" s="11"/>
      <c r="AA291" s="11"/>
      <c r="AB291" s="11"/>
      <c r="AC291" s="11"/>
      <c r="AD291" s="11"/>
      <c r="AE291" s="11"/>
      <c r="AF291" s="11"/>
      <c r="AG291" s="10"/>
      <c r="AH291" s="10"/>
      <c r="AI291" s="10"/>
      <c r="AJ291" s="11"/>
      <c r="AK291" s="11"/>
      <c r="AM291" s="11"/>
      <c r="AN291" s="11"/>
      <c r="AO291" s="11"/>
      <c r="AP291" s="11"/>
      <c r="AQ291" s="11"/>
      <c r="AR291" s="11"/>
      <c r="AS291" s="11"/>
    </row>
    <row r="292" spans="1:45" x14ac:dyDescent="0.25">
      <c r="A292" s="11"/>
      <c r="B292" s="51" t="s">
        <v>1082</v>
      </c>
      <c r="C292" s="11"/>
      <c r="D292" s="51"/>
      <c r="E292" s="51"/>
      <c r="F292" s="5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9"/>
      <c r="R292" s="11"/>
      <c r="S292" s="11"/>
      <c r="T292" s="11"/>
      <c r="U292" s="11"/>
      <c r="V292" s="9"/>
      <c r="W292" s="11"/>
      <c r="X292" s="11"/>
      <c r="Y292" s="52"/>
      <c r="Z292" s="11"/>
      <c r="AA292" s="11"/>
      <c r="AB292" s="11"/>
      <c r="AC292" s="11"/>
      <c r="AD292" s="11"/>
      <c r="AE292" s="11"/>
      <c r="AF292" s="11"/>
      <c r="AG292" s="10"/>
      <c r="AH292" s="10"/>
      <c r="AI292" s="10"/>
      <c r="AJ292" s="11"/>
      <c r="AK292" s="11"/>
      <c r="AM292" s="11"/>
      <c r="AN292" s="11"/>
      <c r="AO292" s="11"/>
      <c r="AP292" s="11"/>
      <c r="AQ292" s="11"/>
      <c r="AR292" s="11"/>
      <c r="AS292" s="11"/>
    </row>
    <row r="293" spans="1:45" x14ac:dyDescent="0.25">
      <c r="A293" s="11"/>
      <c r="B293" s="51" t="s">
        <v>1082</v>
      </c>
      <c r="C293" s="11"/>
      <c r="D293" s="51"/>
      <c r="E293" s="51"/>
      <c r="F293" s="5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9"/>
      <c r="R293" s="11"/>
      <c r="S293" s="11"/>
      <c r="T293" s="11"/>
      <c r="U293" s="11"/>
      <c r="V293" s="9"/>
      <c r="W293" s="11"/>
      <c r="X293" s="11"/>
      <c r="Y293" s="52"/>
      <c r="Z293" s="11"/>
      <c r="AA293" s="11"/>
      <c r="AB293" s="11"/>
      <c r="AC293" s="11"/>
      <c r="AD293" s="11"/>
      <c r="AE293" s="11"/>
      <c r="AF293" s="11"/>
      <c r="AG293" s="10"/>
      <c r="AH293" s="10"/>
      <c r="AI293" s="10"/>
      <c r="AJ293" s="11"/>
      <c r="AK293" s="11"/>
      <c r="AM293" s="11"/>
      <c r="AN293" s="11"/>
      <c r="AO293" s="11"/>
      <c r="AP293" s="11"/>
      <c r="AQ293" s="11"/>
      <c r="AR293" s="11"/>
      <c r="AS293" s="11"/>
    </row>
    <row r="294" spans="1:45" x14ac:dyDescent="0.25">
      <c r="A294" s="11"/>
      <c r="B294" s="51" t="s">
        <v>1082</v>
      </c>
      <c r="C294" s="11"/>
      <c r="D294" s="51"/>
      <c r="E294" s="51"/>
      <c r="F294" s="5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9"/>
      <c r="R294" s="11"/>
      <c r="S294" s="11"/>
      <c r="T294" s="11"/>
      <c r="U294" s="11"/>
      <c r="V294" s="9"/>
      <c r="W294" s="11"/>
      <c r="X294" s="11"/>
      <c r="Y294" s="52"/>
      <c r="Z294" s="11"/>
      <c r="AA294" s="11"/>
      <c r="AB294" s="11"/>
      <c r="AC294" s="11"/>
      <c r="AD294" s="11"/>
      <c r="AE294" s="11"/>
      <c r="AF294" s="11"/>
      <c r="AG294" s="10"/>
      <c r="AH294" s="10"/>
      <c r="AI294" s="10"/>
      <c r="AJ294" s="11"/>
      <c r="AK294" s="11"/>
      <c r="AM294" s="11"/>
      <c r="AN294" s="11"/>
      <c r="AO294" s="11"/>
      <c r="AP294" s="11"/>
      <c r="AQ294" s="11"/>
      <c r="AR294" s="11"/>
      <c r="AS294" s="11"/>
    </row>
    <row r="295" spans="1:45" x14ac:dyDescent="0.25">
      <c r="A295" s="11"/>
      <c r="B295" s="51" t="s">
        <v>1082</v>
      </c>
      <c r="C295" s="11"/>
      <c r="D295" s="51"/>
      <c r="E295" s="51"/>
      <c r="F295" s="5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9"/>
      <c r="R295" s="11"/>
      <c r="S295" s="11"/>
      <c r="T295" s="11"/>
      <c r="U295" s="11"/>
      <c r="V295" s="9"/>
      <c r="W295" s="11"/>
      <c r="X295" s="11"/>
      <c r="Y295" s="52"/>
      <c r="Z295" s="11"/>
      <c r="AA295" s="11"/>
      <c r="AB295" s="11"/>
      <c r="AC295" s="11"/>
      <c r="AD295" s="11"/>
      <c r="AE295" s="11"/>
      <c r="AF295" s="11"/>
      <c r="AG295" s="10"/>
      <c r="AH295" s="10"/>
      <c r="AI295" s="10"/>
      <c r="AJ295" s="11"/>
      <c r="AK295" s="11"/>
      <c r="AM295" s="11"/>
      <c r="AN295" s="11"/>
      <c r="AO295" s="11"/>
      <c r="AP295" s="11"/>
      <c r="AQ295" s="11"/>
      <c r="AR295" s="11"/>
      <c r="AS295" s="11"/>
    </row>
    <row r="296" spans="1:45" x14ac:dyDescent="0.25">
      <c r="A296" s="11"/>
      <c r="B296" s="51" t="s">
        <v>1082</v>
      </c>
      <c r="C296" s="11"/>
      <c r="D296" s="51"/>
      <c r="E296" s="51"/>
      <c r="F296" s="5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9"/>
      <c r="R296" s="11"/>
      <c r="S296" s="11"/>
      <c r="T296" s="11"/>
      <c r="U296" s="11"/>
      <c r="V296" s="9"/>
      <c r="W296" s="11"/>
      <c r="X296" s="11"/>
      <c r="Y296" s="52"/>
      <c r="Z296" s="11"/>
      <c r="AA296" s="11"/>
      <c r="AB296" s="11"/>
      <c r="AC296" s="11"/>
      <c r="AD296" s="11"/>
      <c r="AE296" s="11"/>
      <c r="AF296" s="11"/>
      <c r="AG296" s="10"/>
      <c r="AH296" s="10"/>
      <c r="AI296" s="10"/>
      <c r="AJ296" s="11"/>
      <c r="AK296" s="11"/>
      <c r="AM296" s="11"/>
      <c r="AN296" s="11"/>
      <c r="AO296" s="11"/>
      <c r="AP296" s="11"/>
      <c r="AQ296" s="11"/>
      <c r="AR296" s="11"/>
      <c r="AS296" s="11"/>
    </row>
    <row r="297" spans="1:45" x14ac:dyDescent="0.25">
      <c r="A297" s="11"/>
      <c r="B297" s="51" t="s">
        <v>1082</v>
      </c>
      <c r="C297" s="11"/>
      <c r="D297" s="51"/>
      <c r="E297" s="51"/>
      <c r="F297" s="5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9"/>
      <c r="R297" s="11"/>
      <c r="S297" s="11"/>
      <c r="T297" s="11"/>
      <c r="U297" s="11"/>
      <c r="V297" s="9"/>
      <c r="W297" s="11"/>
      <c r="X297" s="11"/>
      <c r="Y297" s="52"/>
      <c r="Z297" s="11"/>
      <c r="AA297" s="11"/>
      <c r="AB297" s="11"/>
      <c r="AC297" s="11"/>
      <c r="AD297" s="11"/>
      <c r="AE297" s="11"/>
      <c r="AF297" s="11"/>
      <c r="AG297" s="10"/>
      <c r="AH297" s="10"/>
      <c r="AI297" s="10"/>
      <c r="AJ297" s="11"/>
      <c r="AK297" s="11"/>
      <c r="AM297" s="11"/>
      <c r="AN297" s="11"/>
      <c r="AO297" s="11"/>
      <c r="AP297" s="11"/>
      <c r="AQ297" s="11"/>
      <c r="AR297" s="11"/>
      <c r="AS297" s="11"/>
    </row>
    <row r="298" spans="1:45" x14ac:dyDescent="0.25">
      <c r="A298" s="11"/>
      <c r="B298" s="51" t="s">
        <v>1082</v>
      </c>
      <c r="C298" s="11"/>
      <c r="D298" s="51"/>
      <c r="E298" s="51"/>
      <c r="F298" s="5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9"/>
      <c r="R298" s="11"/>
      <c r="S298" s="11"/>
      <c r="T298" s="11"/>
      <c r="U298" s="11"/>
      <c r="V298" s="9"/>
      <c r="W298" s="11"/>
      <c r="X298" s="11"/>
      <c r="Y298" s="52"/>
      <c r="Z298" s="11"/>
      <c r="AA298" s="11"/>
      <c r="AB298" s="11"/>
      <c r="AC298" s="11"/>
      <c r="AD298" s="11"/>
      <c r="AE298" s="11"/>
      <c r="AF298" s="11"/>
      <c r="AG298" s="10"/>
      <c r="AH298" s="10"/>
      <c r="AI298" s="10"/>
      <c r="AJ298" s="11"/>
      <c r="AK298" s="11"/>
      <c r="AM298" s="11"/>
      <c r="AN298" s="11"/>
      <c r="AO298" s="11"/>
      <c r="AP298" s="11"/>
      <c r="AQ298" s="11"/>
      <c r="AR298" s="11"/>
      <c r="AS298" s="11"/>
    </row>
    <row r="299" spans="1:45" x14ac:dyDescent="0.25">
      <c r="A299" s="11"/>
      <c r="B299" s="51" t="s">
        <v>1082</v>
      </c>
      <c r="C299" s="11"/>
      <c r="D299" s="51"/>
      <c r="E299" s="51"/>
      <c r="F299" s="5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9"/>
      <c r="R299" s="11"/>
      <c r="S299" s="11"/>
      <c r="T299" s="11"/>
      <c r="U299" s="11"/>
      <c r="V299" s="9"/>
      <c r="W299" s="11"/>
      <c r="X299" s="11"/>
      <c r="Y299" s="52"/>
      <c r="Z299" s="11"/>
      <c r="AA299" s="11"/>
      <c r="AB299" s="11"/>
      <c r="AC299" s="11"/>
      <c r="AD299" s="11"/>
      <c r="AE299" s="11"/>
      <c r="AF299" s="11"/>
      <c r="AG299" s="10"/>
      <c r="AH299" s="10"/>
      <c r="AI299" s="10"/>
      <c r="AJ299" s="11"/>
      <c r="AK299" s="11"/>
      <c r="AM299" s="11"/>
      <c r="AN299" s="11"/>
      <c r="AO299" s="11"/>
      <c r="AP299" s="11"/>
      <c r="AQ299" s="11"/>
      <c r="AR299" s="11"/>
      <c r="AS299" s="11"/>
    </row>
    <row r="300" spans="1:45" x14ac:dyDescent="0.25">
      <c r="A300" s="11"/>
      <c r="B300" s="51" t="s">
        <v>1082</v>
      </c>
      <c r="C300" s="11"/>
      <c r="D300" s="51"/>
      <c r="E300" s="51"/>
      <c r="F300" s="5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9"/>
      <c r="R300" s="11"/>
      <c r="S300" s="11"/>
      <c r="T300" s="11"/>
      <c r="U300" s="11"/>
      <c r="V300" s="9"/>
      <c r="W300" s="11"/>
      <c r="X300" s="11"/>
      <c r="Y300" s="52"/>
      <c r="Z300" s="11"/>
      <c r="AA300" s="11"/>
      <c r="AB300" s="11"/>
      <c r="AC300" s="11"/>
      <c r="AD300" s="11"/>
      <c r="AE300" s="11"/>
      <c r="AF300" s="11"/>
      <c r="AG300" s="10"/>
      <c r="AH300" s="10"/>
      <c r="AI300" s="10"/>
      <c r="AJ300" s="11"/>
      <c r="AK300" s="11"/>
      <c r="AM300" s="11"/>
      <c r="AN300" s="11"/>
      <c r="AO300" s="11"/>
      <c r="AP300" s="11"/>
      <c r="AQ300" s="11"/>
      <c r="AR300" s="11"/>
      <c r="AS300" s="11"/>
    </row>
    <row r="301" spans="1:45" x14ac:dyDescent="0.25">
      <c r="A301" s="11"/>
      <c r="B301" s="51" t="s">
        <v>1082</v>
      </c>
      <c r="C301" s="11"/>
      <c r="D301" s="51"/>
      <c r="E301" s="51"/>
      <c r="F301" s="5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9"/>
      <c r="R301" s="11"/>
      <c r="S301" s="11"/>
      <c r="T301" s="11"/>
      <c r="U301" s="11"/>
      <c r="V301" s="9"/>
      <c r="W301" s="11"/>
      <c r="X301" s="11"/>
      <c r="Y301" s="52"/>
      <c r="Z301" s="11"/>
      <c r="AA301" s="11"/>
      <c r="AB301" s="11"/>
      <c r="AC301" s="11"/>
      <c r="AD301" s="11"/>
      <c r="AE301" s="11"/>
      <c r="AF301" s="11"/>
      <c r="AG301" s="10"/>
      <c r="AH301" s="10"/>
      <c r="AI301" s="10"/>
      <c r="AJ301" s="11"/>
      <c r="AK301" s="11"/>
      <c r="AM301" s="11"/>
      <c r="AN301" s="11"/>
      <c r="AO301" s="11"/>
      <c r="AP301" s="11"/>
      <c r="AQ301" s="11"/>
      <c r="AR301" s="11"/>
      <c r="AS301" s="11"/>
    </row>
    <row r="302" spans="1:45" x14ac:dyDescent="0.25">
      <c r="A302" s="11"/>
      <c r="B302" s="51" t="s">
        <v>1082</v>
      </c>
      <c r="C302" s="11"/>
      <c r="D302" s="51"/>
      <c r="E302" s="51"/>
      <c r="F302" s="5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9"/>
      <c r="R302" s="11"/>
      <c r="S302" s="11"/>
      <c r="T302" s="11"/>
      <c r="U302" s="11"/>
      <c r="V302" s="9"/>
      <c r="W302" s="11"/>
      <c r="X302" s="11"/>
      <c r="Y302" s="52"/>
      <c r="Z302" s="11"/>
      <c r="AA302" s="11"/>
      <c r="AB302" s="11"/>
      <c r="AC302" s="11"/>
      <c r="AD302" s="11"/>
      <c r="AE302" s="11"/>
      <c r="AF302" s="11"/>
      <c r="AG302" s="10"/>
      <c r="AH302" s="10"/>
      <c r="AI302" s="10"/>
      <c r="AJ302" s="11"/>
      <c r="AK302" s="11"/>
      <c r="AM302" s="11"/>
      <c r="AN302" s="11"/>
      <c r="AO302" s="11"/>
      <c r="AP302" s="11"/>
      <c r="AQ302" s="11"/>
      <c r="AR302" s="11"/>
      <c r="AS302" s="11"/>
    </row>
    <row r="303" spans="1:45" x14ac:dyDescent="0.25">
      <c r="A303" s="11"/>
      <c r="B303" s="51" t="s">
        <v>1082</v>
      </c>
      <c r="C303" s="11"/>
      <c r="D303" s="51"/>
      <c r="E303" s="51"/>
      <c r="F303" s="5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9"/>
      <c r="R303" s="11"/>
      <c r="S303" s="11"/>
      <c r="T303" s="11"/>
      <c r="U303" s="11"/>
      <c r="V303" s="9"/>
      <c r="W303" s="11"/>
      <c r="X303" s="11"/>
      <c r="Y303" s="52"/>
      <c r="Z303" s="11"/>
      <c r="AA303" s="11"/>
      <c r="AB303" s="11"/>
      <c r="AC303" s="11"/>
      <c r="AD303" s="11"/>
      <c r="AE303" s="11"/>
      <c r="AF303" s="11"/>
      <c r="AG303" s="10"/>
      <c r="AH303" s="10"/>
      <c r="AI303" s="10"/>
      <c r="AJ303" s="11"/>
      <c r="AK303" s="11"/>
      <c r="AM303" s="11"/>
      <c r="AN303" s="11"/>
      <c r="AO303" s="11"/>
      <c r="AP303" s="11"/>
      <c r="AQ303" s="11"/>
      <c r="AR303" s="11"/>
      <c r="AS303" s="11"/>
    </row>
    <row r="304" spans="1:45" x14ac:dyDescent="0.25">
      <c r="A304" s="11"/>
      <c r="B304" s="51" t="s">
        <v>1082</v>
      </c>
      <c r="C304" s="11"/>
      <c r="D304" s="51"/>
      <c r="E304" s="51"/>
      <c r="F304" s="5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9"/>
      <c r="R304" s="11"/>
      <c r="S304" s="11"/>
      <c r="T304" s="11"/>
      <c r="U304" s="11"/>
      <c r="V304" s="9"/>
      <c r="W304" s="11"/>
      <c r="X304" s="11"/>
      <c r="Y304" s="52"/>
      <c r="Z304" s="11"/>
      <c r="AA304" s="11"/>
      <c r="AB304" s="11"/>
      <c r="AC304" s="11"/>
      <c r="AD304" s="11"/>
      <c r="AE304" s="11"/>
      <c r="AF304" s="11"/>
      <c r="AG304" s="10"/>
      <c r="AH304" s="10"/>
      <c r="AI304" s="10"/>
      <c r="AJ304" s="11"/>
      <c r="AK304" s="11"/>
      <c r="AM304" s="11"/>
      <c r="AN304" s="11"/>
      <c r="AO304" s="11"/>
      <c r="AP304" s="11"/>
      <c r="AQ304" s="11"/>
      <c r="AR304" s="11"/>
      <c r="AS304" s="11"/>
    </row>
    <row r="305" spans="1:45" x14ac:dyDescent="0.25">
      <c r="A305" s="11"/>
      <c r="B305" s="51" t="s">
        <v>1082</v>
      </c>
      <c r="C305" s="11"/>
      <c r="D305" s="51"/>
      <c r="E305" s="51"/>
      <c r="F305" s="5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9"/>
      <c r="R305" s="11"/>
      <c r="S305" s="11"/>
      <c r="T305" s="11"/>
      <c r="U305" s="11"/>
      <c r="V305" s="9"/>
      <c r="W305" s="11"/>
      <c r="X305" s="11"/>
      <c r="Y305" s="52"/>
      <c r="Z305" s="11"/>
      <c r="AA305" s="11"/>
      <c r="AB305" s="11"/>
      <c r="AC305" s="11"/>
      <c r="AD305" s="11"/>
      <c r="AE305" s="11"/>
      <c r="AF305" s="11"/>
      <c r="AG305" s="10"/>
      <c r="AH305" s="10"/>
      <c r="AI305" s="10"/>
      <c r="AJ305" s="11"/>
      <c r="AK305" s="11"/>
      <c r="AM305" s="11"/>
      <c r="AN305" s="11"/>
      <c r="AO305" s="11"/>
      <c r="AP305" s="11"/>
      <c r="AQ305" s="11"/>
      <c r="AR305" s="11"/>
      <c r="AS305" s="11"/>
    </row>
    <row r="306" spans="1:45" x14ac:dyDescent="0.25">
      <c r="A306" s="11"/>
      <c r="B306" s="51" t="s">
        <v>1082</v>
      </c>
      <c r="C306" s="11"/>
      <c r="D306" s="51"/>
      <c r="E306" s="51"/>
      <c r="F306" s="5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9"/>
      <c r="R306" s="11"/>
      <c r="S306" s="11"/>
      <c r="T306" s="11"/>
      <c r="U306" s="11"/>
      <c r="V306" s="9"/>
      <c r="W306" s="11"/>
      <c r="X306" s="11"/>
      <c r="Y306" s="52"/>
      <c r="Z306" s="11"/>
      <c r="AA306" s="11"/>
      <c r="AB306" s="11"/>
      <c r="AC306" s="11"/>
      <c r="AD306" s="11"/>
      <c r="AE306" s="11"/>
      <c r="AF306" s="11"/>
      <c r="AG306" s="10"/>
      <c r="AH306" s="10"/>
      <c r="AI306" s="10"/>
      <c r="AJ306" s="11"/>
      <c r="AK306" s="11"/>
      <c r="AM306" s="11"/>
      <c r="AN306" s="11"/>
      <c r="AO306" s="11"/>
      <c r="AP306" s="11"/>
      <c r="AQ306" s="11"/>
      <c r="AR306" s="11"/>
      <c r="AS306" s="11"/>
    </row>
    <row r="307" spans="1:45" x14ac:dyDescent="0.25">
      <c r="A307" s="11"/>
      <c r="B307" s="51" t="s">
        <v>1082</v>
      </c>
      <c r="C307" s="11"/>
      <c r="D307" s="51"/>
      <c r="E307" s="51"/>
      <c r="F307" s="5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9"/>
      <c r="R307" s="11"/>
      <c r="S307" s="11"/>
      <c r="T307" s="11"/>
      <c r="U307" s="11"/>
      <c r="V307" s="9"/>
      <c r="W307" s="11"/>
      <c r="X307" s="11"/>
      <c r="Y307" s="52"/>
      <c r="Z307" s="11"/>
      <c r="AA307" s="11"/>
      <c r="AB307" s="11"/>
      <c r="AC307" s="11"/>
      <c r="AD307" s="11"/>
      <c r="AE307" s="11"/>
      <c r="AF307" s="11"/>
      <c r="AG307" s="10"/>
      <c r="AH307" s="10"/>
      <c r="AI307" s="10"/>
      <c r="AJ307" s="11"/>
      <c r="AK307" s="11"/>
      <c r="AM307" s="11"/>
      <c r="AN307" s="11"/>
      <c r="AO307" s="11"/>
      <c r="AP307" s="11"/>
      <c r="AQ307" s="11"/>
      <c r="AR307" s="11"/>
      <c r="AS307" s="11"/>
    </row>
    <row r="308" spans="1:45" x14ac:dyDescent="0.25">
      <c r="A308" s="11"/>
      <c r="B308" s="51" t="s">
        <v>1082</v>
      </c>
      <c r="C308" s="11"/>
      <c r="D308" s="51"/>
      <c r="E308" s="51"/>
      <c r="F308" s="5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9"/>
      <c r="R308" s="11"/>
      <c r="S308" s="11"/>
      <c r="T308" s="11"/>
      <c r="U308" s="11"/>
      <c r="V308" s="9"/>
      <c r="W308" s="11"/>
      <c r="X308" s="11"/>
      <c r="Y308" s="52"/>
      <c r="Z308" s="11"/>
      <c r="AA308" s="11"/>
      <c r="AB308" s="11"/>
      <c r="AC308" s="11"/>
      <c r="AD308" s="11"/>
      <c r="AE308" s="11"/>
      <c r="AF308" s="11"/>
      <c r="AG308" s="10"/>
      <c r="AH308" s="10"/>
      <c r="AI308" s="10"/>
      <c r="AJ308" s="11"/>
      <c r="AK308" s="11"/>
      <c r="AM308" s="11"/>
      <c r="AN308" s="11"/>
      <c r="AO308" s="11"/>
      <c r="AP308" s="11"/>
      <c r="AQ308" s="11"/>
      <c r="AR308" s="11"/>
      <c r="AS308" s="11"/>
    </row>
    <row r="309" spans="1:45" x14ac:dyDescent="0.25">
      <c r="A309" s="11"/>
      <c r="B309" s="51" t="s">
        <v>1082</v>
      </c>
      <c r="C309" s="11"/>
      <c r="D309" s="51"/>
      <c r="E309" s="51"/>
      <c r="F309" s="5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9"/>
      <c r="R309" s="11"/>
      <c r="S309" s="11"/>
      <c r="T309" s="11"/>
      <c r="U309" s="11"/>
      <c r="V309" s="9"/>
      <c r="W309" s="11"/>
      <c r="X309" s="11"/>
      <c r="Y309" s="52"/>
      <c r="Z309" s="11"/>
      <c r="AA309" s="11"/>
      <c r="AB309" s="11"/>
      <c r="AC309" s="11"/>
      <c r="AD309" s="11"/>
      <c r="AE309" s="11"/>
      <c r="AF309" s="11"/>
      <c r="AG309" s="10"/>
      <c r="AH309" s="10"/>
      <c r="AI309" s="10"/>
      <c r="AJ309" s="11"/>
      <c r="AK309" s="11"/>
      <c r="AM309" s="11"/>
      <c r="AN309" s="11"/>
      <c r="AO309" s="11"/>
      <c r="AP309" s="11"/>
      <c r="AQ309" s="11"/>
      <c r="AR309" s="11"/>
      <c r="AS309" s="11"/>
    </row>
    <row r="310" spans="1:45" x14ac:dyDescent="0.25">
      <c r="A310" s="11"/>
      <c r="B310" s="51" t="s">
        <v>1082</v>
      </c>
      <c r="C310" s="11"/>
      <c r="D310" s="51"/>
      <c r="E310" s="51"/>
      <c r="F310" s="5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9"/>
      <c r="R310" s="11"/>
      <c r="S310" s="11"/>
      <c r="T310" s="11"/>
      <c r="U310" s="11"/>
      <c r="V310" s="9"/>
      <c r="W310" s="11"/>
      <c r="X310" s="11"/>
      <c r="Y310" s="52"/>
      <c r="Z310" s="11"/>
      <c r="AA310" s="11"/>
      <c r="AB310" s="11"/>
      <c r="AC310" s="11"/>
      <c r="AD310" s="11"/>
      <c r="AE310" s="11"/>
      <c r="AF310" s="11"/>
      <c r="AG310" s="10"/>
      <c r="AH310" s="10"/>
      <c r="AI310" s="10"/>
      <c r="AJ310" s="11"/>
      <c r="AK310" s="11"/>
      <c r="AM310" s="11"/>
      <c r="AN310" s="11"/>
      <c r="AO310" s="11"/>
      <c r="AP310" s="11"/>
      <c r="AQ310" s="11"/>
      <c r="AR310" s="11"/>
      <c r="AS310" s="11"/>
    </row>
    <row r="311" spans="1:45" x14ac:dyDescent="0.25">
      <c r="A311" s="11"/>
      <c r="B311" s="51" t="s">
        <v>1082</v>
      </c>
      <c r="C311" s="11"/>
      <c r="D311" s="51"/>
      <c r="E311" s="51"/>
      <c r="F311" s="5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9"/>
      <c r="R311" s="11"/>
      <c r="S311" s="11"/>
      <c r="T311" s="11"/>
      <c r="U311" s="11"/>
      <c r="V311" s="9"/>
      <c r="W311" s="11"/>
      <c r="X311" s="11"/>
      <c r="Y311" s="52"/>
      <c r="Z311" s="11"/>
      <c r="AA311" s="11"/>
      <c r="AB311" s="11"/>
      <c r="AC311" s="11"/>
      <c r="AD311" s="11"/>
      <c r="AE311" s="11"/>
      <c r="AF311" s="11"/>
      <c r="AG311" s="10"/>
      <c r="AH311" s="10"/>
      <c r="AI311" s="10"/>
      <c r="AJ311" s="11"/>
      <c r="AK311" s="11"/>
      <c r="AM311" s="11"/>
      <c r="AN311" s="11"/>
      <c r="AO311" s="11"/>
      <c r="AP311" s="11"/>
      <c r="AQ311" s="11"/>
      <c r="AR311" s="11"/>
      <c r="AS311" s="11"/>
    </row>
    <row r="312" spans="1:45" x14ac:dyDescent="0.25">
      <c r="A312" s="11"/>
      <c r="B312" s="51" t="s">
        <v>1082</v>
      </c>
      <c r="C312" s="11"/>
      <c r="D312" s="51"/>
      <c r="E312" s="51"/>
      <c r="F312" s="5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9"/>
      <c r="R312" s="11"/>
      <c r="S312" s="11"/>
      <c r="T312" s="11"/>
      <c r="U312" s="11"/>
      <c r="V312" s="9"/>
      <c r="W312" s="11"/>
      <c r="X312" s="11"/>
      <c r="Y312" s="52"/>
      <c r="Z312" s="11"/>
      <c r="AA312" s="11"/>
      <c r="AB312" s="11"/>
      <c r="AC312" s="11"/>
      <c r="AD312" s="11"/>
      <c r="AE312" s="11"/>
      <c r="AF312" s="11"/>
      <c r="AG312" s="10"/>
      <c r="AH312" s="10"/>
      <c r="AI312" s="10"/>
      <c r="AJ312" s="11"/>
      <c r="AK312" s="11"/>
      <c r="AM312" s="11"/>
      <c r="AN312" s="11"/>
      <c r="AO312" s="11"/>
      <c r="AP312" s="11"/>
      <c r="AQ312" s="11"/>
      <c r="AR312" s="11"/>
      <c r="AS312" s="11"/>
    </row>
    <row r="313" spans="1:45" x14ac:dyDescent="0.25">
      <c r="A313" s="11"/>
      <c r="B313" s="51" t="s">
        <v>1082</v>
      </c>
      <c r="C313" s="11"/>
      <c r="D313" s="51"/>
      <c r="E313" s="51"/>
      <c r="F313" s="5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9"/>
      <c r="R313" s="11"/>
      <c r="S313" s="11"/>
      <c r="T313" s="11"/>
      <c r="U313" s="11"/>
      <c r="V313" s="9"/>
      <c r="W313" s="11"/>
      <c r="X313" s="11"/>
      <c r="Y313" s="52"/>
      <c r="Z313" s="11"/>
      <c r="AA313" s="11"/>
      <c r="AB313" s="11"/>
      <c r="AC313" s="11"/>
      <c r="AD313" s="11"/>
      <c r="AE313" s="11"/>
      <c r="AF313" s="11"/>
      <c r="AG313" s="10"/>
      <c r="AH313" s="10"/>
      <c r="AI313" s="10"/>
      <c r="AJ313" s="11"/>
      <c r="AK313" s="11"/>
      <c r="AM313" s="11"/>
      <c r="AN313" s="11"/>
      <c r="AO313" s="11"/>
      <c r="AP313" s="11"/>
      <c r="AQ313" s="11"/>
      <c r="AR313" s="11"/>
      <c r="AS313" s="11"/>
    </row>
    <row r="314" spans="1:45" x14ac:dyDescent="0.25">
      <c r="A314" s="11"/>
      <c r="B314" s="51" t="s">
        <v>1082</v>
      </c>
      <c r="C314" s="11"/>
      <c r="D314" s="51"/>
      <c r="E314" s="51"/>
      <c r="F314" s="5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9"/>
      <c r="R314" s="11"/>
      <c r="S314" s="11"/>
      <c r="T314" s="11"/>
      <c r="U314" s="11"/>
      <c r="V314" s="9"/>
      <c r="W314" s="11"/>
      <c r="X314" s="11"/>
      <c r="Y314" s="52"/>
      <c r="Z314" s="11"/>
      <c r="AA314" s="11"/>
      <c r="AB314" s="11"/>
      <c r="AC314" s="11"/>
      <c r="AD314" s="11"/>
      <c r="AE314" s="11"/>
      <c r="AF314" s="11"/>
      <c r="AG314" s="10"/>
      <c r="AH314" s="10"/>
      <c r="AI314" s="10"/>
      <c r="AJ314" s="11"/>
      <c r="AK314" s="11"/>
      <c r="AM314" s="11"/>
      <c r="AN314" s="11"/>
      <c r="AO314" s="11"/>
      <c r="AP314" s="11"/>
      <c r="AQ314" s="11"/>
      <c r="AR314" s="11"/>
      <c r="AS314" s="11"/>
    </row>
    <row r="315" spans="1:45" x14ac:dyDescent="0.25">
      <c r="A315" s="11"/>
      <c r="B315" s="51" t="s">
        <v>1082</v>
      </c>
      <c r="C315" s="11"/>
      <c r="D315" s="51"/>
      <c r="E315" s="51"/>
      <c r="F315" s="5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9"/>
      <c r="R315" s="11"/>
      <c r="S315" s="11"/>
      <c r="T315" s="11"/>
      <c r="U315" s="11"/>
      <c r="V315" s="9"/>
      <c r="W315" s="11"/>
      <c r="X315" s="11"/>
      <c r="Y315" s="52"/>
      <c r="Z315" s="11"/>
      <c r="AA315" s="11"/>
      <c r="AB315" s="11"/>
      <c r="AC315" s="11"/>
      <c r="AD315" s="11"/>
      <c r="AE315" s="11"/>
      <c r="AF315" s="11"/>
      <c r="AG315" s="10"/>
      <c r="AH315" s="10"/>
      <c r="AI315" s="10"/>
      <c r="AJ315" s="11"/>
      <c r="AK315" s="11"/>
      <c r="AM315" s="11"/>
      <c r="AN315" s="11"/>
      <c r="AO315" s="11"/>
      <c r="AP315" s="11"/>
      <c r="AQ315" s="11"/>
      <c r="AR315" s="11"/>
      <c r="AS315" s="11"/>
    </row>
    <row r="316" spans="1:45" x14ac:dyDescent="0.25">
      <c r="A316" s="11"/>
      <c r="B316" s="51" t="s">
        <v>1082</v>
      </c>
      <c r="C316" s="11"/>
      <c r="D316" s="51"/>
      <c r="E316" s="51"/>
      <c r="F316" s="5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9"/>
      <c r="R316" s="11"/>
      <c r="S316" s="11"/>
      <c r="T316" s="11"/>
      <c r="U316" s="11"/>
      <c r="V316" s="9"/>
      <c r="W316" s="11"/>
      <c r="X316" s="11"/>
      <c r="Y316" s="52"/>
      <c r="Z316" s="11"/>
      <c r="AA316" s="11"/>
      <c r="AB316" s="11"/>
      <c r="AC316" s="11"/>
      <c r="AD316" s="11"/>
      <c r="AE316" s="11"/>
      <c r="AF316" s="11"/>
      <c r="AG316" s="10"/>
      <c r="AH316" s="10"/>
      <c r="AI316" s="10"/>
      <c r="AJ316" s="11"/>
      <c r="AK316" s="11"/>
      <c r="AM316" s="11"/>
      <c r="AN316" s="11"/>
      <c r="AO316" s="11"/>
      <c r="AP316" s="11"/>
      <c r="AQ316" s="11"/>
      <c r="AR316" s="11"/>
      <c r="AS316" s="11"/>
    </row>
    <row r="317" spans="1:45" x14ac:dyDescent="0.25">
      <c r="A317" s="11"/>
      <c r="B317" s="51" t="s">
        <v>1082</v>
      </c>
      <c r="C317" s="11"/>
      <c r="D317" s="51"/>
      <c r="E317" s="51"/>
      <c r="F317" s="5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9"/>
      <c r="R317" s="11"/>
      <c r="S317" s="11"/>
      <c r="T317" s="11"/>
      <c r="U317" s="11"/>
      <c r="V317" s="9"/>
      <c r="W317" s="11"/>
      <c r="X317" s="11"/>
      <c r="Y317" s="52"/>
      <c r="Z317" s="11"/>
      <c r="AA317" s="11"/>
      <c r="AB317" s="11"/>
      <c r="AC317" s="11"/>
      <c r="AD317" s="11"/>
      <c r="AE317" s="11"/>
      <c r="AF317" s="11"/>
      <c r="AG317" s="10"/>
      <c r="AH317" s="10"/>
      <c r="AI317" s="10"/>
      <c r="AJ317" s="11"/>
      <c r="AK317" s="11"/>
      <c r="AM317" s="11"/>
      <c r="AN317" s="11"/>
      <c r="AO317" s="11"/>
      <c r="AP317" s="11"/>
      <c r="AQ317" s="11"/>
      <c r="AR317" s="11"/>
      <c r="AS317" s="11"/>
    </row>
    <row r="318" spans="1:45" x14ac:dyDescent="0.25">
      <c r="A318" s="11"/>
      <c r="B318" s="51" t="s">
        <v>1082</v>
      </c>
      <c r="C318" s="11"/>
      <c r="D318" s="51"/>
      <c r="E318" s="51"/>
      <c r="F318" s="5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9"/>
      <c r="R318" s="11"/>
      <c r="S318" s="11"/>
      <c r="T318" s="11"/>
      <c r="U318" s="11"/>
      <c r="V318" s="9"/>
      <c r="W318" s="11"/>
      <c r="X318" s="11"/>
      <c r="Y318" s="52"/>
      <c r="Z318" s="11"/>
      <c r="AA318" s="11"/>
      <c r="AB318" s="11"/>
      <c r="AC318" s="11"/>
      <c r="AD318" s="11"/>
      <c r="AE318" s="11"/>
      <c r="AF318" s="11"/>
      <c r="AG318" s="10"/>
      <c r="AH318" s="10"/>
      <c r="AI318" s="10"/>
      <c r="AJ318" s="11"/>
      <c r="AK318" s="11"/>
      <c r="AM318" s="11"/>
      <c r="AN318" s="11"/>
      <c r="AO318" s="11"/>
      <c r="AP318" s="11"/>
      <c r="AQ318" s="11"/>
      <c r="AR318" s="11"/>
      <c r="AS318" s="11"/>
    </row>
    <row r="319" spans="1:45" x14ac:dyDescent="0.25">
      <c r="A319" s="11"/>
      <c r="B319" s="51" t="s">
        <v>1082</v>
      </c>
      <c r="C319" s="11"/>
      <c r="D319" s="51"/>
      <c r="E319" s="51"/>
      <c r="F319" s="5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9"/>
      <c r="R319" s="11"/>
      <c r="S319" s="11"/>
      <c r="T319" s="11"/>
      <c r="U319" s="11"/>
      <c r="V319" s="9"/>
      <c r="W319" s="11"/>
      <c r="X319" s="11"/>
      <c r="Y319" s="52"/>
      <c r="Z319" s="11"/>
      <c r="AA319" s="11"/>
      <c r="AB319" s="11"/>
      <c r="AC319" s="11"/>
      <c r="AD319" s="11"/>
      <c r="AE319" s="11"/>
      <c r="AF319" s="11"/>
      <c r="AG319" s="10"/>
      <c r="AH319" s="10"/>
      <c r="AI319" s="10"/>
      <c r="AJ319" s="11"/>
      <c r="AK319" s="11"/>
      <c r="AM319" s="11"/>
      <c r="AN319" s="11"/>
      <c r="AO319" s="11"/>
      <c r="AP319" s="11"/>
      <c r="AQ319" s="11"/>
      <c r="AR319" s="11"/>
      <c r="AS319" s="11"/>
    </row>
    <row r="320" spans="1:45" x14ac:dyDescent="0.25">
      <c r="A320" s="11"/>
      <c r="B320" s="51" t="s">
        <v>1082</v>
      </c>
      <c r="C320" s="11"/>
      <c r="D320" s="51"/>
      <c r="E320" s="51"/>
      <c r="F320" s="5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9"/>
      <c r="R320" s="11"/>
      <c r="S320" s="11"/>
      <c r="T320" s="11"/>
      <c r="U320" s="11"/>
      <c r="V320" s="9"/>
      <c r="W320" s="11"/>
      <c r="X320" s="11"/>
      <c r="Y320" s="52"/>
      <c r="Z320" s="11"/>
      <c r="AA320" s="11"/>
      <c r="AB320" s="11"/>
      <c r="AC320" s="11"/>
      <c r="AD320" s="11"/>
      <c r="AE320" s="11"/>
      <c r="AF320" s="11"/>
      <c r="AG320" s="10"/>
      <c r="AH320" s="10"/>
      <c r="AI320" s="10"/>
      <c r="AJ320" s="11"/>
      <c r="AK320" s="11"/>
      <c r="AM320" s="11"/>
      <c r="AN320" s="11"/>
      <c r="AO320" s="11"/>
      <c r="AP320" s="11"/>
      <c r="AQ320" s="11"/>
      <c r="AR320" s="11"/>
      <c r="AS320" s="11"/>
    </row>
    <row r="321" spans="1:45" x14ac:dyDescent="0.25">
      <c r="A321" s="11"/>
      <c r="B321" s="51" t="s">
        <v>1082</v>
      </c>
      <c r="C321" s="11"/>
      <c r="D321" s="51"/>
      <c r="E321" s="51"/>
      <c r="F321" s="5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9"/>
      <c r="R321" s="11"/>
      <c r="S321" s="11"/>
      <c r="T321" s="11"/>
      <c r="U321" s="11"/>
      <c r="V321" s="9"/>
      <c r="W321" s="11"/>
      <c r="X321" s="11"/>
      <c r="Y321" s="52"/>
      <c r="Z321" s="11"/>
      <c r="AA321" s="11"/>
      <c r="AB321" s="11"/>
      <c r="AC321" s="11"/>
      <c r="AD321" s="11"/>
      <c r="AE321" s="11"/>
      <c r="AF321" s="11"/>
      <c r="AG321" s="10"/>
      <c r="AH321" s="10"/>
      <c r="AI321" s="10"/>
      <c r="AJ321" s="11"/>
      <c r="AK321" s="11"/>
      <c r="AM321" s="11"/>
      <c r="AN321" s="11"/>
      <c r="AO321" s="11"/>
      <c r="AP321" s="11"/>
      <c r="AQ321" s="11"/>
      <c r="AR321" s="11"/>
      <c r="AS321" s="11"/>
    </row>
    <row r="322" spans="1:45" x14ac:dyDescent="0.25">
      <c r="A322" s="11"/>
      <c r="B322" s="51" t="s">
        <v>1082</v>
      </c>
      <c r="C322" s="11"/>
      <c r="D322" s="51"/>
      <c r="E322" s="51"/>
      <c r="F322" s="5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9"/>
      <c r="R322" s="11"/>
      <c r="S322" s="11"/>
      <c r="T322" s="11"/>
      <c r="U322" s="11"/>
      <c r="V322" s="9"/>
      <c r="W322" s="11"/>
      <c r="X322" s="11"/>
      <c r="Y322" s="52"/>
      <c r="Z322" s="11"/>
      <c r="AA322" s="11"/>
      <c r="AB322" s="11"/>
      <c r="AC322" s="11"/>
      <c r="AD322" s="11"/>
      <c r="AE322" s="11"/>
      <c r="AF322" s="11"/>
      <c r="AG322" s="10"/>
      <c r="AH322" s="10"/>
      <c r="AI322" s="10"/>
      <c r="AJ322" s="11"/>
      <c r="AK322" s="11"/>
      <c r="AM322" s="11"/>
      <c r="AN322" s="11"/>
      <c r="AO322" s="11"/>
      <c r="AP322" s="11"/>
      <c r="AQ322" s="11"/>
      <c r="AR322" s="11"/>
      <c r="AS322" s="11"/>
    </row>
    <row r="323" spans="1:45" x14ac:dyDescent="0.25">
      <c r="A323" s="11"/>
      <c r="B323" s="51" t="s">
        <v>1082</v>
      </c>
      <c r="C323" s="11"/>
      <c r="D323" s="51"/>
      <c r="E323" s="51"/>
      <c r="F323" s="5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9"/>
      <c r="R323" s="11"/>
      <c r="S323" s="11"/>
      <c r="T323" s="11"/>
      <c r="U323" s="11"/>
      <c r="V323" s="9"/>
      <c r="W323" s="11"/>
      <c r="X323" s="11"/>
      <c r="Y323" s="52"/>
      <c r="Z323" s="11"/>
      <c r="AA323" s="11"/>
      <c r="AB323" s="11"/>
      <c r="AC323" s="11"/>
      <c r="AD323" s="11"/>
      <c r="AE323" s="11"/>
      <c r="AF323" s="11"/>
      <c r="AG323" s="10"/>
      <c r="AH323" s="10"/>
      <c r="AI323" s="10"/>
      <c r="AJ323" s="11"/>
      <c r="AK323" s="11"/>
      <c r="AM323" s="11"/>
      <c r="AN323" s="11"/>
      <c r="AO323" s="11"/>
      <c r="AP323" s="11"/>
      <c r="AQ323" s="11"/>
      <c r="AR323" s="11"/>
      <c r="AS323" s="11"/>
    </row>
    <row r="324" spans="1:45" x14ac:dyDescent="0.25">
      <c r="A324" s="11"/>
      <c r="B324" s="51" t="s">
        <v>1082</v>
      </c>
      <c r="C324" s="11"/>
      <c r="D324" s="51"/>
      <c r="E324" s="51"/>
      <c r="F324" s="5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9"/>
      <c r="R324" s="11"/>
      <c r="S324" s="11"/>
      <c r="T324" s="11"/>
      <c r="U324" s="11"/>
      <c r="V324" s="9"/>
      <c r="W324" s="11"/>
      <c r="X324" s="11"/>
      <c r="Y324" s="52"/>
      <c r="Z324" s="11"/>
      <c r="AA324" s="11"/>
      <c r="AB324" s="11"/>
      <c r="AC324" s="11"/>
      <c r="AD324" s="11"/>
      <c r="AE324" s="11"/>
      <c r="AF324" s="11"/>
      <c r="AG324" s="10"/>
      <c r="AH324" s="10"/>
      <c r="AI324" s="10"/>
      <c r="AJ324" s="11"/>
      <c r="AK324" s="11"/>
      <c r="AM324" s="11"/>
      <c r="AN324" s="11"/>
      <c r="AO324" s="11"/>
      <c r="AP324" s="11"/>
      <c r="AQ324" s="11"/>
      <c r="AR324" s="11"/>
      <c r="AS324" s="11"/>
    </row>
    <row r="325" spans="1:45" x14ac:dyDescent="0.25">
      <c r="A325" s="11"/>
      <c r="B325" s="51" t="s">
        <v>1082</v>
      </c>
      <c r="C325" s="11"/>
      <c r="D325" s="51"/>
      <c r="E325" s="51"/>
      <c r="F325" s="5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9"/>
      <c r="R325" s="11"/>
      <c r="S325" s="11"/>
      <c r="T325" s="11"/>
      <c r="U325" s="11"/>
      <c r="V325" s="9"/>
      <c r="W325" s="11"/>
      <c r="X325" s="11"/>
      <c r="Y325" s="52"/>
      <c r="Z325" s="11"/>
      <c r="AA325" s="11"/>
      <c r="AB325" s="11"/>
      <c r="AC325" s="11"/>
      <c r="AD325" s="11"/>
      <c r="AE325" s="11"/>
      <c r="AF325" s="11"/>
      <c r="AG325" s="10"/>
      <c r="AH325" s="10"/>
      <c r="AI325" s="10"/>
      <c r="AJ325" s="11"/>
      <c r="AK325" s="11"/>
      <c r="AM325" s="11"/>
      <c r="AN325" s="11"/>
      <c r="AO325" s="11"/>
      <c r="AP325" s="11"/>
      <c r="AQ325" s="11"/>
      <c r="AR325" s="11"/>
      <c r="AS325" s="11"/>
    </row>
    <row r="326" spans="1:45" x14ac:dyDescent="0.25">
      <c r="A326" s="11"/>
      <c r="B326" s="51" t="s">
        <v>1082</v>
      </c>
      <c r="C326" s="11"/>
      <c r="D326" s="51"/>
      <c r="E326" s="51"/>
      <c r="F326" s="5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9"/>
      <c r="R326" s="11"/>
      <c r="S326" s="11"/>
      <c r="T326" s="11"/>
      <c r="U326" s="11"/>
      <c r="V326" s="9"/>
      <c r="W326" s="11"/>
      <c r="X326" s="11"/>
      <c r="Y326" s="52"/>
      <c r="Z326" s="11"/>
      <c r="AA326" s="11"/>
      <c r="AB326" s="11"/>
      <c r="AC326" s="11"/>
      <c r="AD326" s="11"/>
      <c r="AE326" s="11"/>
      <c r="AF326" s="11"/>
      <c r="AG326" s="10"/>
      <c r="AH326" s="10"/>
      <c r="AI326" s="10"/>
      <c r="AJ326" s="11"/>
      <c r="AK326" s="11"/>
      <c r="AM326" s="11"/>
      <c r="AN326" s="11"/>
      <c r="AO326" s="11"/>
      <c r="AP326" s="11"/>
      <c r="AQ326" s="11"/>
      <c r="AR326" s="11"/>
      <c r="AS326" s="11"/>
    </row>
    <row r="327" spans="1:45" x14ac:dyDescent="0.25">
      <c r="A327" s="11"/>
      <c r="B327" s="51" t="s">
        <v>1082</v>
      </c>
      <c r="C327" s="11"/>
      <c r="D327" s="51"/>
      <c r="E327" s="51"/>
      <c r="F327" s="5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9"/>
      <c r="R327" s="11"/>
      <c r="S327" s="11"/>
      <c r="T327" s="11"/>
      <c r="U327" s="11"/>
      <c r="V327" s="9"/>
      <c r="W327" s="11"/>
      <c r="X327" s="11"/>
      <c r="Y327" s="52"/>
      <c r="Z327" s="11"/>
      <c r="AA327" s="11"/>
      <c r="AB327" s="11"/>
      <c r="AC327" s="11"/>
      <c r="AD327" s="11"/>
      <c r="AE327" s="11"/>
      <c r="AF327" s="11"/>
      <c r="AG327" s="10"/>
      <c r="AH327" s="10"/>
      <c r="AI327" s="10"/>
      <c r="AJ327" s="11"/>
      <c r="AK327" s="11"/>
      <c r="AM327" s="11"/>
      <c r="AN327" s="11"/>
      <c r="AO327" s="11"/>
      <c r="AP327" s="11"/>
      <c r="AQ327" s="11"/>
      <c r="AR327" s="11"/>
      <c r="AS327" s="11"/>
    </row>
    <row r="328" spans="1:45" x14ac:dyDescent="0.25">
      <c r="A328" s="11"/>
      <c r="B328" s="51" t="s">
        <v>1082</v>
      </c>
      <c r="C328" s="11"/>
      <c r="D328" s="51"/>
      <c r="E328" s="51"/>
      <c r="F328" s="5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9"/>
      <c r="R328" s="11"/>
      <c r="S328" s="11"/>
      <c r="T328" s="11"/>
      <c r="U328" s="11"/>
      <c r="V328" s="9"/>
      <c r="W328" s="11"/>
      <c r="X328" s="11"/>
      <c r="Y328" s="52"/>
      <c r="Z328" s="11"/>
      <c r="AA328" s="11"/>
      <c r="AB328" s="11"/>
      <c r="AC328" s="11"/>
      <c r="AD328" s="11"/>
      <c r="AE328" s="11"/>
      <c r="AF328" s="11"/>
      <c r="AG328" s="10"/>
      <c r="AH328" s="10"/>
      <c r="AI328" s="10"/>
      <c r="AJ328" s="11"/>
      <c r="AK328" s="11"/>
      <c r="AM328" s="11"/>
      <c r="AN328" s="11"/>
      <c r="AO328" s="11"/>
      <c r="AP328" s="11"/>
      <c r="AQ328" s="11"/>
      <c r="AR328" s="11"/>
      <c r="AS328" s="11"/>
    </row>
    <row r="329" spans="1:45" x14ac:dyDescent="0.25">
      <c r="A329" s="11"/>
      <c r="B329" s="51" t="s">
        <v>1082</v>
      </c>
      <c r="C329" s="11"/>
      <c r="D329" s="51"/>
      <c r="E329" s="51"/>
      <c r="F329" s="5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9"/>
      <c r="R329" s="11"/>
      <c r="S329" s="11"/>
      <c r="T329" s="11"/>
      <c r="U329" s="11"/>
      <c r="V329" s="9"/>
      <c r="W329" s="11"/>
      <c r="X329" s="11"/>
      <c r="Y329" s="52"/>
      <c r="Z329" s="11"/>
      <c r="AA329" s="11"/>
      <c r="AB329" s="11"/>
      <c r="AC329" s="11"/>
      <c r="AD329" s="11"/>
      <c r="AE329" s="11"/>
      <c r="AF329" s="11"/>
      <c r="AG329" s="10"/>
      <c r="AH329" s="10"/>
      <c r="AI329" s="10"/>
      <c r="AJ329" s="11"/>
      <c r="AK329" s="11"/>
      <c r="AM329" s="11"/>
      <c r="AN329" s="11"/>
      <c r="AO329" s="11"/>
      <c r="AP329" s="11"/>
      <c r="AQ329" s="11"/>
      <c r="AR329" s="11"/>
      <c r="AS329" s="11"/>
    </row>
    <row r="330" spans="1:45" x14ac:dyDescent="0.25">
      <c r="A330" s="11"/>
      <c r="B330" s="51" t="s">
        <v>1082</v>
      </c>
      <c r="C330" s="11"/>
      <c r="D330" s="51"/>
      <c r="E330" s="51"/>
      <c r="F330" s="5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9"/>
      <c r="R330" s="11"/>
      <c r="S330" s="11"/>
      <c r="T330" s="11"/>
      <c r="U330" s="11"/>
      <c r="V330" s="9"/>
      <c r="W330" s="11"/>
      <c r="X330" s="11"/>
      <c r="Y330" s="52"/>
      <c r="Z330" s="11"/>
      <c r="AA330" s="11"/>
      <c r="AB330" s="11"/>
      <c r="AC330" s="11"/>
      <c r="AD330" s="11"/>
      <c r="AE330" s="11"/>
      <c r="AF330" s="11"/>
      <c r="AG330" s="10"/>
      <c r="AH330" s="10"/>
      <c r="AI330" s="10"/>
      <c r="AJ330" s="11"/>
      <c r="AK330" s="11"/>
      <c r="AM330" s="11"/>
      <c r="AN330" s="11"/>
      <c r="AO330" s="11"/>
      <c r="AP330" s="11"/>
      <c r="AQ330" s="11"/>
      <c r="AR330" s="11"/>
      <c r="AS330" s="11"/>
    </row>
    <row r="331" spans="1:45" x14ac:dyDescent="0.25">
      <c r="A331" s="11"/>
      <c r="B331" s="51" t="s">
        <v>1082</v>
      </c>
      <c r="C331" s="11"/>
      <c r="D331" s="51"/>
      <c r="E331" s="51"/>
      <c r="F331" s="5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9"/>
      <c r="R331" s="11"/>
      <c r="S331" s="11"/>
      <c r="T331" s="11"/>
      <c r="U331" s="11"/>
      <c r="V331" s="9"/>
      <c r="W331" s="11"/>
      <c r="X331" s="11"/>
      <c r="Y331" s="52"/>
      <c r="Z331" s="11"/>
      <c r="AA331" s="11"/>
      <c r="AB331" s="11"/>
      <c r="AC331" s="11"/>
      <c r="AD331" s="11"/>
      <c r="AE331" s="11"/>
      <c r="AF331" s="11"/>
      <c r="AG331" s="10"/>
      <c r="AH331" s="10"/>
      <c r="AI331" s="10"/>
      <c r="AJ331" s="11"/>
      <c r="AK331" s="11"/>
      <c r="AM331" s="11"/>
      <c r="AN331" s="11"/>
      <c r="AO331" s="11"/>
      <c r="AP331" s="11"/>
      <c r="AQ331" s="11"/>
      <c r="AR331" s="11"/>
      <c r="AS331" s="11"/>
    </row>
    <row r="332" spans="1:45" x14ac:dyDescent="0.25">
      <c r="A332" s="11"/>
      <c r="B332" s="51" t="s">
        <v>1082</v>
      </c>
      <c r="C332" s="11"/>
      <c r="D332" s="51"/>
      <c r="E332" s="51"/>
      <c r="F332" s="5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9"/>
      <c r="R332" s="11"/>
      <c r="S332" s="11"/>
      <c r="T332" s="11"/>
      <c r="U332" s="11"/>
      <c r="V332" s="9"/>
      <c r="W332" s="11"/>
      <c r="X332" s="11"/>
      <c r="Y332" s="52"/>
      <c r="Z332" s="11"/>
      <c r="AA332" s="11"/>
      <c r="AB332" s="11"/>
      <c r="AC332" s="11"/>
      <c r="AD332" s="11"/>
      <c r="AE332" s="11"/>
      <c r="AF332" s="11"/>
      <c r="AG332" s="10"/>
      <c r="AH332" s="10"/>
      <c r="AI332" s="10"/>
      <c r="AJ332" s="11"/>
      <c r="AK332" s="11"/>
      <c r="AM332" s="11"/>
      <c r="AN332" s="11"/>
      <c r="AO332" s="11"/>
      <c r="AP332" s="11"/>
      <c r="AQ332" s="11"/>
      <c r="AR332" s="11"/>
      <c r="AS332" s="11"/>
    </row>
    <row r="333" spans="1:45" x14ac:dyDescent="0.25">
      <c r="A333" s="11"/>
      <c r="B333" s="51" t="s">
        <v>1082</v>
      </c>
      <c r="C333" s="11"/>
      <c r="D333" s="51"/>
      <c r="E333" s="51"/>
      <c r="F333" s="5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9"/>
      <c r="R333" s="11"/>
      <c r="S333" s="11"/>
      <c r="T333" s="11"/>
      <c r="U333" s="11"/>
      <c r="V333" s="9"/>
      <c r="W333" s="11"/>
      <c r="X333" s="11"/>
      <c r="Y333" s="52"/>
      <c r="Z333" s="11"/>
      <c r="AA333" s="11"/>
      <c r="AB333" s="11"/>
      <c r="AC333" s="11"/>
      <c r="AD333" s="11"/>
      <c r="AE333" s="11"/>
      <c r="AF333" s="11"/>
      <c r="AG333" s="10"/>
      <c r="AH333" s="10"/>
      <c r="AI333" s="10"/>
      <c r="AJ333" s="11"/>
      <c r="AK333" s="11"/>
      <c r="AM333" s="11"/>
      <c r="AN333" s="11"/>
      <c r="AO333" s="11"/>
      <c r="AP333" s="11"/>
      <c r="AQ333" s="11"/>
      <c r="AR333" s="11"/>
      <c r="AS333" s="11"/>
    </row>
    <row r="334" spans="1:45" x14ac:dyDescent="0.25">
      <c r="A334" s="11"/>
      <c r="B334" s="51" t="s">
        <v>1082</v>
      </c>
      <c r="C334" s="11"/>
      <c r="D334" s="51"/>
      <c r="E334" s="51"/>
      <c r="F334" s="5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9"/>
      <c r="R334" s="11"/>
      <c r="S334" s="11"/>
      <c r="T334" s="11"/>
      <c r="U334" s="11"/>
      <c r="V334" s="9"/>
      <c r="W334" s="11"/>
      <c r="X334" s="11"/>
      <c r="Y334" s="52"/>
      <c r="Z334" s="11"/>
      <c r="AA334" s="11"/>
      <c r="AB334" s="11"/>
      <c r="AC334" s="11"/>
      <c r="AD334" s="11"/>
      <c r="AE334" s="11"/>
      <c r="AF334" s="11"/>
      <c r="AG334" s="10"/>
      <c r="AH334" s="10"/>
      <c r="AI334" s="10"/>
      <c r="AJ334" s="11"/>
      <c r="AK334" s="11"/>
      <c r="AM334" s="11"/>
      <c r="AN334" s="11"/>
      <c r="AO334" s="11"/>
      <c r="AP334" s="11"/>
      <c r="AQ334" s="11"/>
      <c r="AR334" s="11"/>
      <c r="AS334" s="11"/>
    </row>
    <row r="335" spans="1:45" x14ac:dyDescent="0.25">
      <c r="A335" s="11"/>
      <c r="B335" s="51" t="s">
        <v>1082</v>
      </c>
      <c r="C335" s="11"/>
      <c r="D335" s="51"/>
      <c r="E335" s="51"/>
      <c r="F335" s="5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9"/>
      <c r="R335" s="11"/>
      <c r="S335" s="11"/>
      <c r="T335" s="11"/>
      <c r="U335" s="11"/>
      <c r="V335" s="9"/>
      <c r="W335" s="11"/>
      <c r="X335" s="11"/>
      <c r="Y335" s="52"/>
      <c r="Z335" s="11"/>
      <c r="AA335" s="11"/>
      <c r="AB335" s="11"/>
      <c r="AC335" s="11"/>
      <c r="AD335" s="11"/>
      <c r="AE335" s="11"/>
      <c r="AF335" s="11"/>
      <c r="AG335" s="10"/>
      <c r="AH335" s="10"/>
      <c r="AI335" s="10"/>
      <c r="AJ335" s="11"/>
      <c r="AK335" s="11"/>
      <c r="AM335" s="11"/>
      <c r="AN335" s="11"/>
      <c r="AO335" s="11"/>
      <c r="AP335" s="11"/>
      <c r="AQ335" s="11"/>
      <c r="AR335" s="11"/>
      <c r="AS335" s="11"/>
    </row>
    <row r="336" spans="1:45" x14ac:dyDescent="0.25">
      <c r="A336" s="11"/>
      <c r="B336" s="51" t="s">
        <v>1082</v>
      </c>
      <c r="C336" s="11"/>
      <c r="D336" s="51"/>
      <c r="E336" s="51"/>
      <c r="F336" s="5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9"/>
      <c r="R336" s="11"/>
      <c r="S336" s="11"/>
      <c r="T336" s="11"/>
      <c r="U336" s="11"/>
      <c r="V336" s="9"/>
      <c r="W336" s="11"/>
      <c r="X336" s="11"/>
      <c r="Y336" s="52"/>
      <c r="Z336" s="11"/>
      <c r="AA336" s="11"/>
      <c r="AB336" s="11"/>
      <c r="AC336" s="11"/>
      <c r="AD336" s="11"/>
      <c r="AE336" s="11"/>
      <c r="AF336" s="11"/>
      <c r="AG336" s="10"/>
      <c r="AH336" s="10"/>
      <c r="AI336" s="10"/>
      <c r="AJ336" s="11"/>
      <c r="AK336" s="11"/>
      <c r="AM336" s="11"/>
      <c r="AN336" s="11"/>
      <c r="AO336" s="11"/>
      <c r="AP336" s="11"/>
      <c r="AQ336" s="11"/>
      <c r="AR336" s="11"/>
      <c r="AS336" s="11"/>
    </row>
    <row r="337" spans="1:45" x14ac:dyDescent="0.25">
      <c r="A337" s="11"/>
      <c r="B337" s="51" t="s">
        <v>1082</v>
      </c>
      <c r="C337" s="11"/>
      <c r="D337" s="51"/>
      <c r="E337" s="51"/>
      <c r="F337" s="5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9"/>
      <c r="R337" s="11"/>
      <c r="S337" s="11"/>
      <c r="T337" s="11"/>
      <c r="U337" s="11"/>
      <c r="V337" s="9"/>
      <c r="W337" s="11"/>
      <c r="X337" s="11"/>
      <c r="Y337" s="52"/>
      <c r="Z337" s="11"/>
      <c r="AA337" s="11"/>
      <c r="AB337" s="11"/>
      <c r="AC337" s="11"/>
      <c r="AD337" s="11"/>
      <c r="AE337" s="11"/>
      <c r="AF337" s="11"/>
      <c r="AG337" s="10"/>
      <c r="AH337" s="10"/>
      <c r="AI337" s="10"/>
      <c r="AJ337" s="11"/>
      <c r="AK337" s="11"/>
      <c r="AM337" s="11"/>
      <c r="AN337" s="11"/>
      <c r="AO337" s="11"/>
      <c r="AP337" s="11"/>
      <c r="AQ337" s="11"/>
      <c r="AR337" s="11"/>
      <c r="AS337" s="11"/>
    </row>
    <row r="338" spans="1:45" x14ac:dyDescent="0.25">
      <c r="A338" s="11"/>
      <c r="B338" s="51" t="s">
        <v>1082</v>
      </c>
      <c r="C338" s="11"/>
      <c r="D338" s="51"/>
      <c r="E338" s="51"/>
      <c r="F338" s="5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9"/>
      <c r="R338" s="11"/>
      <c r="S338" s="11"/>
      <c r="T338" s="11"/>
      <c r="U338" s="11"/>
      <c r="V338" s="9"/>
      <c r="W338" s="11"/>
      <c r="X338" s="11"/>
      <c r="Y338" s="52"/>
      <c r="Z338" s="11"/>
      <c r="AA338" s="11"/>
      <c r="AB338" s="11"/>
      <c r="AC338" s="11"/>
      <c r="AD338" s="11"/>
      <c r="AE338" s="11"/>
      <c r="AF338" s="11"/>
      <c r="AG338" s="10"/>
      <c r="AH338" s="10"/>
      <c r="AI338" s="10"/>
      <c r="AJ338" s="11"/>
      <c r="AK338" s="11"/>
      <c r="AM338" s="11"/>
      <c r="AN338" s="11"/>
      <c r="AO338" s="11"/>
      <c r="AP338" s="11"/>
      <c r="AQ338" s="11"/>
      <c r="AR338" s="11"/>
      <c r="AS338" s="11"/>
    </row>
    <row r="339" spans="1:45" x14ac:dyDescent="0.25">
      <c r="A339" s="11"/>
      <c r="B339" s="51" t="s">
        <v>1082</v>
      </c>
      <c r="C339" s="11"/>
      <c r="D339" s="51"/>
      <c r="E339" s="51"/>
      <c r="F339" s="5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9"/>
      <c r="R339" s="11"/>
      <c r="S339" s="11"/>
      <c r="T339" s="11"/>
      <c r="U339" s="11"/>
      <c r="V339" s="9"/>
      <c r="W339" s="11"/>
      <c r="X339" s="11"/>
      <c r="Y339" s="52"/>
      <c r="Z339" s="11"/>
      <c r="AA339" s="11"/>
      <c r="AB339" s="11"/>
      <c r="AC339" s="11"/>
      <c r="AD339" s="11"/>
      <c r="AE339" s="11"/>
      <c r="AF339" s="11"/>
      <c r="AG339" s="10"/>
      <c r="AH339" s="10"/>
      <c r="AI339" s="10"/>
      <c r="AJ339" s="11"/>
      <c r="AK339" s="11"/>
      <c r="AM339" s="11"/>
      <c r="AN339" s="11"/>
      <c r="AO339" s="11"/>
      <c r="AP339" s="11"/>
      <c r="AQ339" s="11"/>
      <c r="AR339" s="11"/>
      <c r="AS339" s="11"/>
    </row>
    <row r="340" spans="1:45" x14ac:dyDescent="0.25">
      <c r="A340" s="11"/>
      <c r="B340" s="51" t="s">
        <v>1082</v>
      </c>
      <c r="C340" s="11"/>
      <c r="D340" s="51"/>
      <c r="E340" s="51"/>
      <c r="F340" s="5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9"/>
      <c r="R340" s="11"/>
      <c r="S340" s="11"/>
      <c r="T340" s="11"/>
      <c r="U340" s="11"/>
      <c r="V340" s="9"/>
      <c r="W340" s="11"/>
      <c r="X340" s="11"/>
      <c r="Y340" s="52"/>
      <c r="Z340" s="11"/>
      <c r="AA340" s="11"/>
      <c r="AB340" s="11"/>
      <c r="AC340" s="11"/>
      <c r="AD340" s="11"/>
      <c r="AE340" s="11"/>
      <c r="AF340" s="11"/>
      <c r="AG340" s="10"/>
      <c r="AH340" s="10"/>
      <c r="AI340" s="10"/>
      <c r="AJ340" s="11"/>
      <c r="AK340" s="11"/>
      <c r="AM340" s="11"/>
      <c r="AN340" s="11"/>
      <c r="AO340" s="11"/>
      <c r="AP340" s="11"/>
      <c r="AQ340" s="11"/>
      <c r="AR340" s="11"/>
      <c r="AS340" s="11"/>
    </row>
    <row r="341" spans="1:45" x14ac:dyDescent="0.25">
      <c r="A341" s="11"/>
      <c r="B341" s="51" t="s">
        <v>1082</v>
      </c>
      <c r="C341" s="11"/>
      <c r="D341" s="51"/>
      <c r="E341" s="51"/>
      <c r="F341" s="5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9"/>
      <c r="R341" s="11"/>
      <c r="S341" s="11"/>
      <c r="T341" s="11"/>
      <c r="U341" s="11"/>
      <c r="V341" s="9"/>
      <c r="W341" s="11"/>
      <c r="X341" s="11"/>
      <c r="Y341" s="52"/>
      <c r="Z341" s="11"/>
      <c r="AA341" s="11"/>
      <c r="AB341" s="11"/>
      <c r="AC341" s="11"/>
      <c r="AD341" s="11"/>
      <c r="AE341" s="11"/>
      <c r="AF341" s="11"/>
      <c r="AG341" s="10"/>
      <c r="AH341" s="10"/>
      <c r="AI341" s="10"/>
      <c r="AJ341" s="11"/>
      <c r="AK341" s="11"/>
      <c r="AM341" s="11"/>
      <c r="AN341" s="11"/>
      <c r="AO341" s="11"/>
      <c r="AP341" s="11"/>
      <c r="AQ341" s="11"/>
      <c r="AR341" s="11"/>
      <c r="AS341" s="11"/>
    </row>
    <row r="342" spans="1:45" x14ac:dyDescent="0.25">
      <c r="A342" s="11"/>
      <c r="B342" s="51" t="s">
        <v>1082</v>
      </c>
      <c r="C342" s="11"/>
      <c r="D342" s="51"/>
      <c r="E342" s="51"/>
      <c r="F342" s="5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9"/>
      <c r="R342" s="11"/>
      <c r="S342" s="11"/>
      <c r="T342" s="11"/>
      <c r="U342" s="11"/>
      <c r="V342" s="9"/>
      <c r="W342" s="11"/>
      <c r="X342" s="11"/>
      <c r="Y342" s="52"/>
      <c r="Z342" s="11"/>
      <c r="AA342" s="11"/>
      <c r="AB342" s="11"/>
      <c r="AC342" s="11"/>
      <c r="AD342" s="11"/>
      <c r="AE342" s="11"/>
      <c r="AF342" s="11"/>
      <c r="AG342" s="10"/>
      <c r="AH342" s="10"/>
      <c r="AI342" s="10"/>
      <c r="AJ342" s="11"/>
      <c r="AK342" s="11"/>
      <c r="AM342" s="11"/>
      <c r="AN342" s="11"/>
      <c r="AO342" s="11"/>
      <c r="AP342" s="11"/>
      <c r="AQ342" s="11"/>
      <c r="AR342" s="11"/>
      <c r="AS342" s="11"/>
    </row>
    <row r="343" spans="1:45" x14ac:dyDescent="0.25">
      <c r="A343" s="11"/>
      <c r="B343" s="51" t="s">
        <v>1082</v>
      </c>
      <c r="C343" s="11"/>
      <c r="D343" s="51"/>
      <c r="E343" s="51"/>
      <c r="F343" s="5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9"/>
      <c r="R343" s="11"/>
      <c r="S343" s="11"/>
      <c r="T343" s="11"/>
      <c r="U343" s="11"/>
      <c r="V343" s="9"/>
      <c r="W343" s="11"/>
      <c r="X343" s="11"/>
      <c r="Y343" s="52"/>
      <c r="Z343" s="11"/>
      <c r="AA343" s="11"/>
      <c r="AB343" s="11"/>
      <c r="AC343" s="11"/>
      <c r="AD343" s="11"/>
      <c r="AE343" s="11"/>
      <c r="AF343" s="11"/>
      <c r="AG343" s="10"/>
      <c r="AH343" s="10"/>
      <c r="AI343" s="10"/>
      <c r="AJ343" s="11"/>
      <c r="AK343" s="11"/>
      <c r="AM343" s="11"/>
      <c r="AN343" s="11"/>
      <c r="AO343" s="11"/>
      <c r="AP343" s="11"/>
      <c r="AQ343" s="11"/>
      <c r="AR343" s="11"/>
      <c r="AS343" s="11"/>
    </row>
    <row r="344" spans="1:45" x14ac:dyDescent="0.25">
      <c r="A344" s="11"/>
      <c r="B344" s="51" t="s">
        <v>1082</v>
      </c>
      <c r="C344" s="11"/>
      <c r="D344" s="51"/>
      <c r="E344" s="51"/>
      <c r="F344" s="5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9"/>
      <c r="R344" s="11"/>
      <c r="S344" s="11"/>
      <c r="T344" s="11"/>
      <c r="U344" s="11"/>
      <c r="V344" s="9"/>
      <c r="W344" s="11"/>
      <c r="X344" s="11"/>
      <c r="Y344" s="52"/>
      <c r="Z344" s="11"/>
      <c r="AA344" s="11"/>
      <c r="AB344" s="11"/>
      <c r="AC344" s="11"/>
      <c r="AD344" s="11"/>
      <c r="AE344" s="11"/>
      <c r="AF344" s="11"/>
      <c r="AG344" s="10"/>
      <c r="AH344" s="10"/>
      <c r="AI344" s="10"/>
      <c r="AJ344" s="11"/>
      <c r="AK344" s="11"/>
      <c r="AM344" s="11"/>
      <c r="AN344" s="11"/>
      <c r="AO344" s="11"/>
      <c r="AP344" s="11"/>
      <c r="AQ344" s="11"/>
      <c r="AR344" s="11"/>
      <c r="AS344" s="11"/>
    </row>
    <row r="345" spans="1:45" x14ac:dyDescent="0.25">
      <c r="A345" s="11"/>
      <c r="B345" s="51" t="s">
        <v>1082</v>
      </c>
      <c r="C345" s="11"/>
      <c r="D345" s="51"/>
      <c r="E345" s="51"/>
      <c r="F345" s="5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9"/>
      <c r="R345" s="11"/>
      <c r="S345" s="11"/>
      <c r="T345" s="11"/>
      <c r="U345" s="11"/>
      <c r="V345" s="9"/>
      <c r="W345" s="11"/>
      <c r="X345" s="11"/>
      <c r="Y345" s="52"/>
      <c r="Z345" s="11"/>
      <c r="AA345" s="11"/>
      <c r="AB345" s="11"/>
      <c r="AC345" s="11"/>
      <c r="AD345" s="11"/>
      <c r="AE345" s="11"/>
      <c r="AF345" s="11"/>
      <c r="AG345" s="10"/>
      <c r="AH345" s="10"/>
      <c r="AI345" s="10"/>
      <c r="AJ345" s="11"/>
      <c r="AK345" s="11"/>
      <c r="AM345" s="11"/>
      <c r="AN345" s="11"/>
      <c r="AO345" s="11"/>
      <c r="AP345" s="11"/>
      <c r="AQ345" s="11"/>
      <c r="AR345" s="11"/>
      <c r="AS345" s="11"/>
    </row>
    <row r="346" spans="1:45" x14ac:dyDescent="0.25">
      <c r="A346" s="11"/>
      <c r="B346" s="51" t="s">
        <v>1082</v>
      </c>
      <c r="C346" s="11"/>
      <c r="D346" s="51"/>
      <c r="E346" s="51"/>
      <c r="F346" s="5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9"/>
      <c r="R346" s="11"/>
      <c r="S346" s="11"/>
      <c r="T346" s="11"/>
      <c r="U346" s="11"/>
      <c r="V346" s="9"/>
      <c r="W346" s="11"/>
      <c r="X346" s="11"/>
      <c r="Y346" s="52"/>
      <c r="Z346" s="11"/>
      <c r="AA346" s="11"/>
      <c r="AB346" s="11"/>
      <c r="AC346" s="11"/>
      <c r="AD346" s="11"/>
      <c r="AE346" s="11"/>
      <c r="AF346" s="11"/>
      <c r="AG346" s="10"/>
      <c r="AH346" s="10"/>
      <c r="AI346" s="10"/>
      <c r="AJ346" s="11"/>
      <c r="AK346" s="11"/>
      <c r="AM346" s="11"/>
      <c r="AN346" s="11"/>
      <c r="AO346" s="11"/>
      <c r="AP346" s="11"/>
      <c r="AQ346" s="11"/>
      <c r="AR346" s="11"/>
      <c r="AS346" s="11"/>
    </row>
    <row r="347" spans="1:45" x14ac:dyDescent="0.25">
      <c r="A347" s="11"/>
      <c r="B347" s="51" t="s">
        <v>1082</v>
      </c>
      <c r="C347" s="11"/>
      <c r="D347" s="51"/>
      <c r="E347" s="51"/>
      <c r="F347" s="5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9"/>
      <c r="R347" s="11"/>
      <c r="S347" s="11"/>
      <c r="T347" s="11"/>
      <c r="U347" s="11"/>
      <c r="V347" s="9"/>
      <c r="W347" s="11"/>
      <c r="X347" s="11"/>
      <c r="Y347" s="52"/>
      <c r="Z347" s="11"/>
      <c r="AA347" s="11"/>
      <c r="AB347" s="11"/>
      <c r="AC347" s="11"/>
      <c r="AD347" s="11"/>
      <c r="AE347" s="11"/>
      <c r="AF347" s="11"/>
      <c r="AG347" s="10"/>
      <c r="AH347" s="10"/>
      <c r="AI347" s="10"/>
      <c r="AJ347" s="11"/>
      <c r="AK347" s="11"/>
      <c r="AM347" s="11"/>
      <c r="AN347" s="11"/>
      <c r="AO347" s="11"/>
      <c r="AP347" s="11"/>
      <c r="AQ347" s="11"/>
      <c r="AR347" s="11"/>
      <c r="AS347" s="11"/>
    </row>
    <row r="348" spans="1:45" x14ac:dyDescent="0.25">
      <c r="A348" s="11"/>
      <c r="B348" s="51" t="s">
        <v>1082</v>
      </c>
      <c r="C348" s="11"/>
      <c r="D348" s="51"/>
      <c r="E348" s="51"/>
      <c r="F348" s="5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9"/>
      <c r="R348" s="11"/>
      <c r="S348" s="11"/>
      <c r="T348" s="11"/>
      <c r="U348" s="11"/>
      <c r="V348" s="9"/>
      <c r="W348" s="11"/>
      <c r="X348" s="11"/>
      <c r="Y348" s="52"/>
      <c r="Z348" s="11"/>
      <c r="AA348" s="11"/>
      <c r="AB348" s="11"/>
      <c r="AC348" s="11"/>
      <c r="AD348" s="11"/>
      <c r="AE348" s="11"/>
      <c r="AF348" s="11"/>
      <c r="AG348" s="10"/>
      <c r="AH348" s="10"/>
      <c r="AI348" s="10"/>
      <c r="AJ348" s="11"/>
      <c r="AK348" s="11"/>
      <c r="AM348" s="11"/>
      <c r="AN348" s="11"/>
      <c r="AO348" s="11"/>
      <c r="AP348" s="11"/>
      <c r="AQ348" s="11"/>
      <c r="AR348" s="11"/>
      <c r="AS348" s="11"/>
    </row>
    <row r="349" spans="1:45" x14ac:dyDescent="0.25">
      <c r="A349" s="11"/>
      <c r="B349" s="51" t="s">
        <v>1082</v>
      </c>
      <c r="C349" s="11"/>
      <c r="D349" s="51"/>
      <c r="E349" s="51"/>
      <c r="F349" s="5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9"/>
      <c r="R349" s="11"/>
      <c r="S349" s="11"/>
      <c r="T349" s="11"/>
      <c r="U349" s="11"/>
      <c r="V349" s="9"/>
      <c r="W349" s="11"/>
      <c r="X349" s="11"/>
      <c r="Y349" s="52"/>
      <c r="Z349" s="11"/>
      <c r="AA349" s="11"/>
      <c r="AB349" s="11"/>
      <c r="AC349" s="11"/>
      <c r="AD349" s="11"/>
      <c r="AE349" s="11"/>
      <c r="AF349" s="11"/>
      <c r="AG349" s="10"/>
      <c r="AH349" s="10"/>
      <c r="AI349" s="10"/>
      <c r="AJ349" s="11"/>
      <c r="AK349" s="11"/>
      <c r="AM349" s="11"/>
      <c r="AN349" s="11"/>
      <c r="AO349" s="11"/>
      <c r="AP349" s="11"/>
      <c r="AQ349" s="11"/>
      <c r="AR349" s="11"/>
      <c r="AS349" s="11"/>
    </row>
    <row r="350" spans="1:45" x14ac:dyDescent="0.25">
      <c r="A350" s="11"/>
      <c r="B350" s="51" t="s">
        <v>1082</v>
      </c>
      <c r="C350" s="11"/>
      <c r="D350" s="51"/>
      <c r="E350" s="51"/>
      <c r="F350" s="5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9"/>
      <c r="R350" s="11"/>
      <c r="S350" s="11"/>
      <c r="T350" s="11"/>
      <c r="U350" s="11"/>
      <c r="V350" s="9"/>
      <c r="W350" s="11"/>
      <c r="X350" s="11"/>
      <c r="Y350" s="52"/>
      <c r="Z350" s="11"/>
      <c r="AA350" s="11"/>
      <c r="AB350" s="11"/>
      <c r="AC350" s="11"/>
      <c r="AD350" s="11"/>
      <c r="AE350" s="11"/>
      <c r="AF350" s="11"/>
      <c r="AG350" s="10"/>
      <c r="AH350" s="10"/>
      <c r="AI350" s="10"/>
      <c r="AJ350" s="11"/>
      <c r="AK350" s="11"/>
      <c r="AM350" s="11"/>
      <c r="AN350" s="11"/>
      <c r="AO350" s="11"/>
      <c r="AP350" s="11"/>
      <c r="AQ350" s="11"/>
      <c r="AR350" s="11"/>
      <c r="AS350" s="11"/>
    </row>
    <row r="351" spans="1:45" x14ac:dyDescent="0.25">
      <c r="A351" s="11"/>
      <c r="B351" s="51" t="s">
        <v>1082</v>
      </c>
      <c r="C351" s="11"/>
      <c r="D351" s="51"/>
      <c r="E351" s="51"/>
      <c r="F351" s="5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9"/>
      <c r="R351" s="11"/>
      <c r="S351" s="11"/>
      <c r="T351" s="11"/>
      <c r="U351" s="11"/>
      <c r="V351" s="9"/>
      <c r="W351" s="11"/>
      <c r="X351" s="11"/>
      <c r="Y351" s="52"/>
      <c r="Z351" s="11"/>
      <c r="AA351" s="11"/>
      <c r="AB351" s="11"/>
      <c r="AC351" s="11"/>
      <c r="AD351" s="11"/>
      <c r="AE351" s="11"/>
      <c r="AF351" s="11"/>
      <c r="AG351" s="10"/>
      <c r="AH351" s="10"/>
      <c r="AI351" s="10"/>
      <c r="AJ351" s="11"/>
      <c r="AK351" s="11"/>
      <c r="AM351" s="11"/>
      <c r="AN351" s="11"/>
      <c r="AO351" s="11"/>
      <c r="AP351" s="11"/>
      <c r="AQ351" s="11"/>
      <c r="AR351" s="11"/>
      <c r="AS351" s="11"/>
    </row>
    <row r="352" spans="1:45" x14ac:dyDescent="0.25">
      <c r="A352" s="11"/>
      <c r="B352" s="51" t="s">
        <v>1082</v>
      </c>
      <c r="C352" s="11"/>
      <c r="D352" s="51"/>
      <c r="E352" s="51"/>
      <c r="F352" s="5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9"/>
      <c r="R352" s="11"/>
      <c r="S352" s="11"/>
      <c r="T352" s="11"/>
      <c r="U352" s="11"/>
      <c r="V352" s="9"/>
      <c r="W352" s="11"/>
      <c r="X352" s="11"/>
      <c r="Y352" s="52"/>
      <c r="Z352" s="11"/>
      <c r="AA352" s="11"/>
      <c r="AB352" s="11"/>
      <c r="AC352" s="11"/>
      <c r="AD352" s="11"/>
      <c r="AE352" s="11"/>
      <c r="AF352" s="11"/>
      <c r="AG352" s="10"/>
      <c r="AH352" s="10"/>
      <c r="AI352" s="10"/>
      <c r="AJ352" s="11"/>
      <c r="AK352" s="11"/>
      <c r="AM352" s="11"/>
      <c r="AN352" s="11"/>
      <c r="AO352" s="11"/>
      <c r="AP352" s="11"/>
      <c r="AQ352" s="11"/>
      <c r="AR352" s="11"/>
      <c r="AS352" s="11"/>
    </row>
    <row r="353" spans="1:45" x14ac:dyDescent="0.25">
      <c r="A353" s="11"/>
      <c r="B353" s="51" t="s">
        <v>1082</v>
      </c>
      <c r="C353" s="11"/>
      <c r="D353" s="51"/>
      <c r="E353" s="51"/>
      <c r="F353" s="5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9"/>
      <c r="R353" s="11"/>
      <c r="S353" s="11"/>
      <c r="T353" s="11"/>
      <c r="U353" s="11"/>
      <c r="V353" s="9"/>
      <c r="W353" s="11"/>
      <c r="X353" s="11"/>
      <c r="Y353" s="52"/>
      <c r="Z353" s="11"/>
      <c r="AA353" s="11"/>
      <c r="AB353" s="11"/>
      <c r="AC353" s="11"/>
      <c r="AD353" s="11"/>
      <c r="AE353" s="11"/>
      <c r="AF353" s="11"/>
      <c r="AG353" s="10"/>
      <c r="AH353" s="10"/>
      <c r="AI353" s="10"/>
      <c r="AJ353" s="11"/>
      <c r="AK353" s="11"/>
      <c r="AM353" s="11"/>
      <c r="AN353" s="11"/>
      <c r="AO353" s="11"/>
      <c r="AP353" s="11"/>
      <c r="AQ353" s="11"/>
      <c r="AR353" s="11"/>
      <c r="AS353" s="11"/>
    </row>
    <row r="354" spans="1:45" x14ac:dyDescent="0.25">
      <c r="A354" s="11"/>
      <c r="B354" s="51" t="s">
        <v>1082</v>
      </c>
      <c r="C354" s="11"/>
      <c r="D354" s="51"/>
      <c r="E354" s="51"/>
      <c r="F354" s="5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9"/>
      <c r="R354" s="11"/>
      <c r="S354" s="11"/>
      <c r="T354" s="11"/>
      <c r="U354" s="11"/>
      <c r="V354" s="9"/>
      <c r="W354" s="11"/>
      <c r="X354" s="11"/>
      <c r="Y354" s="52"/>
      <c r="Z354" s="11"/>
      <c r="AA354" s="11"/>
      <c r="AB354" s="11"/>
      <c r="AC354" s="11"/>
      <c r="AD354" s="11"/>
      <c r="AE354" s="11"/>
      <c r="AF354" s="11"/>
      <c r="AG354" s="10"/>
      <c r="AH354" s="10"/>
      <c r="AI354" s="10"/>
      <c r="AJ354" s="11"/>
      <c r="AK354" s="11"/>
      <c r="AM354" s="11"/>
      <c r="AN354" s="11"/>
      <c r="AO354" s="11"/>
      <c r="AP354" s="11"/>
      <c r="AQ354" s="11"/>
      <c r="AR354" s="11"/>
      <c r="AS354" s="11"/>
    </row>
    <row r="355" spans="1:45" x14ac:dyDescent="0.25">
      <c r="A355" s="11"/>
      <c r="B355" s="51" t="s">
        <v>1082</v>
      </c>
      <c r="C355" s="11"/>
      <c r="D355" s="51"/>
      <c r="E355" s="51"/>
      <c r="F355" s="5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9"/>
      <c r="R355" s="11"/>
      <c r="S355" s="11"/>
      <c r="T355" s="11"/>
      <c r="U355" s="11"/>
      <c r="V355" s="9"/>
      <c r="W355" s="11"/>
      <c r="X355" s="11"/>
      <c r="Y355" s="52"/>
      <c r="Z355" s="11"/>
      <c r="AA355" s="11"/>
      <c r="AB355" s="11"/>
      <c r="AC355" s="11"/>
      <c r="AD355" s="11"/>
      <c r="AE355" s="11"/>
      <c r="AF355" s="11"/>
      <c r="AG355" s="10"/>
      <c r="AH355" s="10"/>
      <c r="AI355" s="10"/>
      <c r="AJ355" s="11"/>
      <c r="AK355" s="11"/>
      <c r="AM355" s="11"/>
      <c r="AN355" s="11"/>
      <c r="AO355" s="11"/>
      <c r="AP355" s="11"/>
      <c r="AQ355" s="11"/>
      <c r="AR355" s="11"/>
      <c r="AS355" s="11"/>
    </row>
    <row r="356" spans="1:45" x14ac:dyDescent="0.25">
      <c r="A356" s="11"/>
      <c r="B356" s="51" t="s">
        <v>1082</v>
      </c>
      <c r="C356" s="11"/>
      <c r="D356" s="51"/>
      <c r="E356" s="51"/>
      <c r="F356" s="5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9"/>
      <c r="R356" s="11"/>
      <c r="S356" s="11"/>
      <c r="T356" s="11"/>
      <c r="U356" s="11"/>
      <c r="V356" s="9"/>
      <c r="W356" s="11"/>
      <c r="X356" s="11"/>
      <c r="Y356" s="52"/>
      <c r="Z356" s="11"/>
      <c r="AA356" s="11"/>
      <c r="AB356" s="11"/>
      <c r="AC356" s="11"/>
      <c r="AD356" s="11"/>
      <c r="AE356" s="11"/>
      <c r="AF356" s="11"/>
      <c r="AG356" s="10"/>
      <c r="AH356" s="10"/>
      <c r="AI356" s="10"/>
      <c r="AJ356" s="11"/>
      <c r="AK356" s="11"/>
      <c r="AM356" s="11"/>
      <c r="AN356" s="11"/>
      <c r="AO356" s="11"/>
      <c r="AP356" s="11"/>
      <c r="AQ356" s="11"/>
      <c r="AR356" s="11"/>
      <c r="AS356" s="11"/>
    </row>
    <row r="357" spans="1:45" x14ac:dyDescent="0.25">
      <c r="A357" s="11"/>
      <c r="B357" s="51" t="s">
        <v>1082</v>
      </c>
      <c r="C357" s="11"/>
      <c r="D357" s="51"/>
      <c r="E357" s="51"/>
      <c r="F357" s="5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9"/>
      <c r="R357" s="11"/>
      <c r="S357" s="11"/>
      <c r="T357" s="11"/>
      <c r="U357" s="11"/>
      <c r="V357" s="9"/>
      <c r="W357" s="11"/>
      <c r="X357" s="11"/>
      <c r="Y357" s="52"/>
      <c r="Z357" s="11"/>
      <c r="AA357" s="11"/>
      <c r="AB357" s="11"/>
      <c r="AC357" s="11"/>
      <c r="AD357" s="11"/>
      <c r="AE357" s="11"/>
      <c r="AF357" s="11"/>
      <c r="AG357" s="10"/>
      <c r="AH357" s="10"/>
      <c r="AI357" s="10"/>
      <c r="AJ357" s="11"/>
      <c r="AK357" s="11"/>
      <c r="AM357" s="11"/>
      <c r="AN357" s="11"/>
      <c r="AO357" s="11"/>
      <c r="AP357" s="11"/>
      <c r="AQ357" s="11"/>
      <c r="AR357" s="11"/>
      <c r="AS357" s="11"/>
    </row>
    <row r="358" spans="1:45" x14ac:dyDescent="0.25">
      <c r="A358" s="11"/>
      <c r="B358" s="51" t="s">
        <v>1082</v>
      </c>
      <c r="C358" s="11"/>
      <c r="D358" s="51"/>
      <c r="E358" s="51"/>
      <c r="F358" s="5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9"/>
      <c r="R358" s="11"/>
      <c r="S358" s="11"/>
      <c r="T358" s="11"/>
      <c r="U358" s="11"/>
      <c r="V358" s="9"/>
      <c r="W358" s="11"/>
      <c r="X358" s="11"/>
      <c r="Y358" s="52"/>
      <c r="Z358" s="11"/>
      <c r="AA358" s="11"/>
      <c r="AB358" s="11"/>
      <c r="AC358" s="11"/>
      <c r="AD358" s="11"/>
      <c r="AE358" s="11"/>
      <c r="AF358" s="11"/>
      <c r="AG358" s="10"/>
      <c r="AH358" s="10"/>
      <c r="AI358" s="10"/>
      <c r="AJ358" s="11"/>
      <c r="AK358" s="11"/>
      <c r="AM358" s="11"/>
      <c r="AN358" s="11"/>
      <c r="AO358" s="11"/>
      <c r="AP358" s="11"/>
      <c r="AQ358" s="11"/>
      <c r="AR358" s="11"/>
      <c r="AS358" s="11"/>
    </row>
    <row r="359" spans="1:45" x14ac:dyDescent="0.25">
      <c r="A359" s="11"/>
      <c r="B359" s="51" t="s">
        <v>1082</v>
      </c>
      <c r="C359" s="11"/>
      <c r="D359" s="51"/>
      <c r="E359" s="51"/>
      <c r="F359" s="5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9"/>
      <c r="R359" s="11"/>
      <c r="S359" s="11"/>
      <c r="T359" s="11"/>
      <c r="U359" s="11"/>
      <c r="V359" s="9"/>
      <c r="W359" s="11"/>
      <c r="X359" s="11"/>
      <c r="Y359" s="52"/>
      <c r="Z359" s="11"/>
      <c r="AA359" s="11"/>
      <c r="AB359" s="11"/>
      <c r="AC359" s="11"/>
      <c r="AD359" s="11"/>
      <c r="AE359" s="11"/>
      <c r="AF359" s="11"/>
      <c r="AG359" s="10"/>
      <c r="AH359" s="10"/>
      <c r="AI359" s="10"/>
      <c r="AJ359" s="11"/>
      <c r="AK359" s="11"/>
      <c r="AM359" s="11"/>
      <c r="AN359" s="11"/>
      <c r="AO359" s="11"/>
      <c r="AP359" s="11"/>
      <c r="AQ359" s="11"/>
      <c r="AR359" s="11"/>
      <c r="AS359" s="11"/>
    </row>
    <row r="360" spans="1:45" x14ac:dyDescent="0.25">
      <c r="A360" s="11"/>
      <c r="B360" s="51" t="s">
        <v>1082</v>
      </c>
      <c r="C360" s="11"/>
      <c r="D360" s="51"/>
      <c r="E360" s="51"/>
      <c r="F360" s="5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9"/>
      <c r="R360" s="11"/>
      <c r="S360" s="11"/>
      <c r="T360" s="11"/>
      <c r="U360" s="11"/>
      <c r="V360" s="9"/>
      <c r="W360" s="11"/>
      <c r="X360" s="11"/>
      <c r="Y360" s="52"/>
      <c r="Z360" s="11"/>
      <c r="AA360" s="11"/>
      <c r="AB360" s="11"/>
      <c r="AC360" s="11"/>
      <c r="AD360" s="11"/>
      <c r="AE360" s="11"/>
      <c r="AF360" s="11"/>
      <c r="AG360" s="10"/>
      <c r="AH360" s="10"/>
      <c r="AI360" s="10"/>
      <c r="AJ360" s="11"/>
      <c r="AK360" s="11"/>
      <c r="AM360" s="11"/>
      <c r="AN360" s="11"/>
      <c r="AO360" s="11"/>
      <c r="AP360" s="11"/>
      <c r="AQ360" s="11"/>
      <c r="AR360" s="11"/>
      <c r="AS360" s="11"/>
    </row>
    <row r="361" spans="1:45" x14ac:dyDescent="0.25">
      <c r="A361" s="11"/>
      <c r="B361" s="51" t="s">
        <v>1082</v>
      </c>
      <c r="C361" s="11"/>
      <c r="D361" s="51"/>
      <c r="E361" s="51"/>
      <c r="F361" s="5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9"/>
      <c r="R361" s="11"/>
      <c r="S361" s="11"/>
      <c r="T361" s="11"/>
      <c r="U361" s="11"/>
      <c r="V361" s="9"/>
      <c r="W361" s="11"/>
      <c r="X361" s="11"/>
      <c r="Y361" s="52"/>
      <c r="Z361" s="11"/>
      <c r="AA361" s="11"/>
      <c r="AB361" s="11"/>
      <c r="AC361" s="11"/>
      <c r="AD361" s="11"/>
      <c r="AE361" s="11"/>
      <c r="AF361" s="11"/>
      <c r="AG361" s="10"/>
      <c r="AH361" s="10"/>
      <c r="AI361" s="10"/>
      <c r="AJ361" s="11"/>
      <c r="AK361" s="11"/>
      <c r="AM361" s="11"/>
      <c r="AN361" s="11"/>
      <c r="AO361" s="11"/>
      <c r="AP361" s="11"/>
      <c r="AQ361" s="11"/>
      <c r="AR361" s="11"/>
      <c r="AS361" s="11"/>
    </row>
    <row r="362" spans="1:45" x14ac:dyDescent="0.25">
      <c r="A362" s="11"/>
      <c r="B362" s="51" t="s">
        <v>1082</v>
      </c>
      <c r="C362" s="11"/>
      <c r="D362" s="51"/>
      <c r="E362" s="51"/>
      <c r="F362" s="5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9"/>
      <c r="R362" s="11"/>
      <c r="S362" s="11"/>
      <c r="T362" s="11"/>
      <c r="U362" s="11"/>
      <c r="V362" s="9"/>
      <c r="W362" s="11"/>
      <c r="X362" s="11"/>
      <c r="Y362" s="52"/>
      <c r="Z362" s="11"/>
      <c r="AA362" s="11"/>
      <c r="AB362" s="11"/>
      <c r="AC362" s="11"/>
      <c r="AD362" s="11"/>
      <c r="AE362" s="11"/>
      <c r="AF362" s="11"/>
      <c r="AG362" s="10"/>
      <c r="AH362" s="10"/>
      <c r="AI362" s="10"/>
      <c r="AJ362" s="11"/>
      <c r="AK362" s="11"/>
      <c r="AM362" s="11"/>
      <c r="AN362" s="11"/>
      <c r="AO362" s="11"/>
      <c r="AP362" s="11"/>
      <c r="AQ362" s="11"/>
      <c r="AR362" s="11"/>
      <c r="AS362" s="11"/>
    </row>
    <row r="363" spans="1:45" x14ac:dyDescent="0.25">
      <c r="A363" s="11"/>
      <c r="B363" s="51" t="s">
        <v>1082</v>
      </c>
      <c r="C363" s="11"/>
      <c r="D363" s="51"/>
      <c r="E363" s="51"/>
      <c r="F363" s="5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9"/>
      <c r="R363" s="11"/>
      <c r="S363" s="11"/>
      <c r="T363" s="11"/>
      <c r="U363" s="11"/>
      <c r="V363" s="9"/>
      <c r="W363" s="11"/>
      <c r="X363" s="11"/>
      <c r="Y363" s="52"/>
      <c r="Z363" s="11"/>
      <c r="AA363" s="11"/>
      <c r="AB363" s="11"/>
      <c r="AC363" s="11"/>
      <c r="AD363" s="11"/>
      <c r="AE363" s="11"/>
      <c r="AF363" s="11"/>
      <c r="AG363" s="10"/>
      <c r="AH363" s="10"/>
      <c r="AI363" s="10"/>
      <c r="AJ363" s="11"/>
      <c r="AK363" s="11"/>
      <c r="AM363" s="11"/>
      <c r="AN363" s="11"/>
      <c r="AO363" s="11"/>
      <c r="AP363" s="11"/>
      <c r="AQ363" s="11"/>
      <c r="AR363" s="11"/>
      <c r="AS363" s="11"/>
    </row>
    <row r="364" spans="1:45" x14ac:dyDescent="0.25">
      <c r="A364" s="11"/>
      <c r="B364" s="51" t="s">
        <v>1082</v>
      </c>
      <c r="C364" s="11"/>
      <c r="D364" s="51"/>
      <c r="E364" s="51"/>
      <c r="F364" s="5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9"/>
      <c r="R364" s="11"/>
      <c r="S364" s="11"/>
      <c r="T364" s="11"/>
      <c r="U364" s="11"/>
      <c r="V364" s="9"/>
      <c r="W364" s="11"/>
      <c r="X364" s="11"/>
      <c r="Y364" s="52"/>
      <c r="Z364" s="11"/>
      <c r="AA364" s="11"/>
      <c r="AB364" s="11"/>
      <c r="AC364" s="11"/>
      <c r="AD364" s="11"/>
      <c r="AE364" s="11"/>
      <c r="AF364" s="11"/>
      <c r="AG364" s="10"/>
      <c r="AH364" s="10"/>
      <c r="AI364" s="10"/>
      <c r="AJ364" s="11"/>
      <c r="AK364" s="11"/>
      <c r="AM364" s="11"/>
      <c r="AN364" s="11"/>
      <c r="AO364" s="11"/>
      <c r="AP364" s="11"/>
      <c r="AQ364" s="11"/>
      <c r="AR364" s="11"/>
      <c r="AS364" s="11"/>
    </row>
    <row r="365" spans="1:45" x14ac:dyDescent="0.25">
      <c r="A365" s="11"/>
      <c r="B365" s="51" t="s">
        <v>1082</v>
      </c>
      <c r="C365" s="11"/>
      <c r="D365" s="51"/>
      <c r="E365" s="51"/>
      <c r="F365" s="5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9"/>
      <c r="R365" s="11"/>
      <c r="S365" s="11"/>
      <c r="T365" s="11"/>
      <c r="U365" s="11"/>
      <c r="V365" s="9"/>
      <c r="W365" s="11"/>
      <c r="X365" s="11"/>
      <c r="Y365" s="52"/>
      <c r="Z365" s="11"/>
      <c r="AA365" s="11"/>
      <c r="AB365" s="11"/>
      <c r="AC365" s="11"/>
      <c r="AD365" s="11"/>
      <c r="AE365" s="11"/>
      <c r="AF365" s="11"/>
      <c r="AG365" s="10"/>
      <c r="AH365" s="10"/>
      <c r="AI365" s="10"/>
      <c r="AJ365" s="11"/>
      <c r="AK365" s="11"/>
      <c r="AM365" s="11"/>
      <c r="AN365" s="11"/>
      <c r="AO365" s="11"/>
      <c r="AP365" s="11"/>
      <c r="AQ365" s="11"/>
      <c r="AR365" s="11"/>
      <c r="AS365" s="11"/>
    </row>
    <row r="366" spans="1:45" x14ac:dyDescent="0.25">
      <c r="A366" s="11"/>
      <c r="B366" s="51" t="s">
        <v>1082</v>
      </c>
      <c r="C366" s="11"/>
      <c r="D366" s="51"/>
      <c r="E366" s="51"/>
      <c r="F366" s="5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9"/>
      <c r="R366" s="11"/>
      <c r="S366" s="11"/>
      <c r="T366" s="11"/>
      <c r="U366" s="11"/>
      <c r="V366" s="9"/>
      <c r="W366" s="11"/>
      <c r="X366" s="11"/>
      <c r="Y366" s="52"/>
      <c r="Z366" s="11"/>
      <c r="AA366" s="11"/>
      <c r="AB366" s="11"/>
      <c r="AC366" s="11"/>
      <c r="AD366" s="11"/>
      <c r="AE366" s="11"/>
      <c r="AF366" s="11"/>
      <c r="AG366" s="10"/>
      <c r="AH366" s="10"/>
      <c r="AI366" s="10"/>
      <c r="AJ366" s="11"/>
      <c r="AK366" s="11"/>
      <c r="AM366" s="11"/>
      <c r="AN366" s="11"/>
      <c r="AO366" s="11"/>
      <c r="AP366" s="11"/>
      <c r="AQ366" s="11"/>
      <c r="AR366" s="11"/>
      <c r="AS366" s="11"/>
    </row>
    <row r="367" spans="1:45" x14ac:dyDescent="0.25">
      <c r="A367" s="11"/>
      <c r="B367" s="51" t="s">
        <v>1082</v>
      </c>
      <c r="C367" s="11"/>
      <c r="D367" s="51"/>
      <c r="E367" s="51"/>
      <c r="F367" s="5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9"/>
      <c r="R367" s="11"/>
      <c r="S367" s="11"/>
      <c r="T367" s="11"/>
      <c r="U367" s="11"/>
      <c r="V367" s="9"/>
      <c r="W367" s="11"/>
      <c r="X367" s="11"/>
      <c r="Y367" s="52"/>
      <c r="Z367" s="11"/>
      <c r="AA367" s="11"/>
      <c r="AB367" s="11"/>
      <c r="AC367" s="11"/>
      <c r="AD367" s="11"/>
      <c r="AE367" s="11"/>
      <c r="AF367" s="11"/>
      <c r="AG367" s="10"/>
      <c r="AH367" s="10"/>
      <c r="AI367" s="10"/>
      <c r="AJ367" s="11"/>
      <c r="AK367" s="11"/>
      <c r="AM367" s="11"/>
      <c r="AN367" s="11"/>
      <c r="AO367" s="11"/>
      <c r="AP367" s="11"/>
      <c r="AQ367" s="11"/>
      <c r="AR367" s="11"/>
      <c r="AS367" s="11"/>
    </row>
    <row r="368" spans="1:45" x14ac:dyDescent="0.25">
      <c r="A368" s="11"/>
      <c r="B368" s="51" t="s">
        <v>1082</v>
      </c>
      <c r="C368" s="11"/>
      <c r="D368" s="51"/>
      <c r="E368" s="51"/>
      <c r="F368" s="5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9"/>
      <c r="R368" s="11"/>
      <c r="S368" s="11"/>
      <c r="T368" s="11"/>
      <c r="U368" s="11"/>
      <c r="V368" s="9"/>
      <c r="W368" s="11"/>
      <c r="X368" s="11"/>
      <c r="Y368" s="52"/>
      <c r="Z368" s="11"/>
      <c r="AA368" s="11"/>
      <c r="AB368" s="11"/>
      <c r="AC368" s="11"/>
      <c r="AD368" s="11"/>
      <c r="AE368" s="11"/>
      <c r="AF368" s="11"/>
      <c r="AG368" s="10"/>
      <c r="AH368" s="10"/>
      <c r="AI368" s="10"/>
      <c r="AJ368" s="11"/>
      <c r="AK368" s="11"/>
      <c r="AM368" s="11"/>
      <c r="AN368" s="11"/>
      <c r="AO368" s="11"/>
      <c r="AP368" s="11"/>
      <c r="AQ368" s="11"/>
      <c r="AR368" s="11"/>
      <c r="AS368" s="11"/>
    </row>
    <row r="369" spans="1:45" x14ac:dyDescent="0.25">
      <c r="A369" s="11"/>
      <c r="B369" s="51" t="s">
        <v>1082</v>
      </c>
      <c r="C369" s="11"/>
      <c r="D369" s="51"/>
      <c r="E369" s="51"/>
      <c r="F369" s="5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9"/>
      <c r="R369" s="11"/>
      <c r="S369" s="11"/>
      <c r="T369" s="11"/>
      <c r="U369" s="11"/>
      <c r="V369" s="9"/>
      <c r="W369" s="11"/>
      <c r="X369" s="11"/>
      <c r="Y369" s="52"/>
      <c r="Z369" s="11"/>
      <c r="AA369" s="11"/>
      <c r="AB369" s="11"/>
      <c r="AC369" s="11"/>
      <c r="AD369" s="11"/>
      <c r="AE369" s="11"/>
      <c r="AF369" s="11"/>
      <c r="AG369" s="10"/>
      <c r="AH369" s="10"/>
      <c r="AI369" s="10"/>
      <c r="AJ369" s="11"/>
      <c r="AK369" s="11"/>
      <c r="AM369" s="11"/>
      <c r="AN369" s="11"/>
      <c r="AO369" s="11"/>
      <c r="AP369" s="11"/>
      <c r="AQ369" s="11"/>
      <c r="AR369" s="11"/>
      <c r="AS369" s="11"/>
    </row>
    <row r="370" spans="1:45" x14ac:dyDescent="0.25">
      <c r="A370" s="11"/>
      <c r="B370" s="51" t="s">
        <v>1082</v>
      </c>
      <c r="C370" s="11"/>
      <c r="D370" s="51"/>
      <c r="E370" s="51"/>
      <c r="F370" s="5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9"/>
      <c r="R370" s="11"/>
      <c r="S370" s="11"/>
      <c r="T370" s="11"/>
      <c r="U370" s="11"/>
      <c r="V370" s="9"/>
      <c r="W370" s="11"/>
      <c r="X370" s="11"/>
      <c r="Y370" s="52"/>
      <c r="Z370" s="11"/>
      <c r="AA370" s="11"/>
      <c r="AB370" s="11"/>
      <c r="AC370" s="11"/>
      <c r="AD370" s="11"/>
      <c r="AE370" s="11"/>
      <c r="AF370" s="11"/>
      <c r="AG370" s="10"/>
      <c r="AH370" s="10"/>
      <c r="AI370" s="10"/>
      <c r="AJ370" s="11"/>
      <c r="AK370" s="11"/>
      <c r="AM370" s="11"/>
      <c r="AN370" s="11"/>
      <c r="AO370" s="11"/>
      <c r="AP370" s="11"/>
      <c r="AQ370" s="11"/>
      <c r="AR370" s="11"/>
      <c r="AS370" s="11"/>
    </row>
    <row r="371" spans="1:45" x14ac:dyDescent="0.25">
      <c r="A371" s="11"/>
      <c r="B371" s="51" t="s">
        <v>1082</v>
      </c>
      <c r="C371" s="11"/>
      <c r="D371" s="51"/>
      <c r="E371" s="51"/>
      <c r="F371" s="5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9"/>
      <c r="R371" s="11"/>
      <c r="S371" s="11"/>
      <c r="T371" s="11"/>
      <c r="U371" s="11"/>
      <c r="V371" s="9"/>
      <c r="W371" s="11"/>
      <c r="X371" s="11"/>
      <c r="Y371" s="52"/>
      <c r="Z371" s="11"/>
      <c r="AA371" s="11"/>
      <c r="AB371" s="11"/>
      <c r="AC371" s="11"/>
      <c r="AD371" s="11"/>
      <c r="AE371" s="11"/>
      <c r="AF371" s="11"/>
      <c r="AG371" s="10"/>
      <c r="AH371" s="10"/>
      <c r="AI371" s="10"/>
      <c r="AJ371" s="11"/>
      <c r="AK371" s="11"/>
      <c r="AM371" s="11"/>
      <c r="AN371" s="11"/>
      <c r="AO371" s="11"/>
      <c r="AP371" s="11"/>
      <c r="AQ371" s="11"/>
      <c r="AR371" s="11"/>
      <c r="AS371" s="11"/>
    </row>
    <row r="372" spans="1:45" x14ac:dyDescent="0.25">
      <c r="A372" s="11"/>
      <c r="B372" s="51" t="s">
        <v>1082</v>
      </c>
      <c r="C372" s="11"/>
      <c r="D372" s="51"/>
      <c r="E372" s="51"/>
      <c r="F372" s="5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9"/>
      <c r="R372" s="11"/>
      <c r="S372" s="11"/>
      <c r="T372" s="11"/>
      <c r="U372" s="11"/>
      <c r="V372" s="9"/>
      <c r="W372" s="11"/>
      <c r="X372" s="11"/>
      <c r="Y372" s="52"/>
      <c r="Z372" s="11"/>
      <c r="AA372" s="11"/>
      <c r="AB372" s="11"/>
      <c r="AC372" s="11"/>
      <c r="AD372" s="11"/>
      <c r="AE372" s="11"/>
      <c r="AF372" s="11"/>
      <c r="AG372" s="10"/>
      <c r="AH372" s="10"/>
      <c r="AI372" s="10"/>
      <c r="AJ372" s="11"/>
      <c r="AK372" s="11"/>
      <c r="AM372" s="11"/>
      <c r="AN372" s="11"/>
      <c r="AO372" s="11"/>
      <c r="AP372" s="11"/>
      <c r="AQ372" s="11"/>
      <c r="AR372" s="11"/>
      <c r="AS372" s="11"/>
    </row>
    <row r="373" spans="1:45" x14ac:dyDescent="0.25">
      <c r="A373" s="11"/>
      <c r="B373" s="51" t="s">
        <v>1082</v>
      </c>
      <c r="C373" s="11"/>
      <c r="D373" s="51"/>
      <c r="E373" s="51"/>
      <c r="F373" s="5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9"/>
      <c r="R373" s="11"/>
      <c r="S373" s="11"/>
      <c r="T373" s="11"/>
      <c r="U373" s="11"/>
      <c r="V373" s="9"/>
      <c r="W373" s="11"/>
      <c r="X373" s="11"/>
      <c r="Y373" s="52"/>
      <c r="Z373" s="11"/>
      <c r="AA373" s="11"/>
      <c r="AB373" s="11"/>
      <c r="AC373" s="11"/>
      <c r="AD373" s="11"/>
      <c r="AE373" s="11"/>
      <c r="AF373" s="11"/>
      <c r="AG373" s="10"/>
      <c r="AH373" s="10"/>
      <c r="AI373" s="10"/>
      <c r="AJ373" s="11"/>
      <c r="AK373" s="11"/>
      <c r="AM373" s="11"/>
      <c r="AN373" s="11"/>
      <c r="AO373" s="11"/>
      <c r="AP373" s="11"/>
      <c r="AQ373" s="11"/>
      <c r="AR373" s="11"/>
      <c r="AS373" s="11"/>
    </row>
    <row r="374" spans="1:45" x14ac:dyDescent="0.25">
      <c r="A374" s="11"/>
      <c r="B374" s="51" t="s">
        <v>1082</v>
      </c>
      <c r="C374" s="11"/>
      <c r="D374" s="51"/>
      <c r="E374" s="51"/>
      <c r="F374" s="5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9"/>
      <c r="R374" s="11"/>
      <c r="S374" s="11"/>
      <c r="T374" s="11"/>
      <c r="U374" s="11"/>
      <c r="V374" s="9"/>
      <c r="W374" s="11"/>
      <c r="X374" s="11"/>
      <c r="Y374" s="52"/>
      <c r="Z374" s="11"/>
      <c r="AA374" s="11"/>
      <c r="AB374" s="11"/>
      <c r="AC374" s="11"/>
      <c r="AD374" s="11"/>
      <c r="AE374" s="11"/>
      <c r="AF374" s="11"/>
      <c r="AG374" s="10"/>
      <c r="AH374" s="10"/>
      <c r="AI374" s="10"/>
      <c r="AJ374" s="11"/>
      <c r="AK374" s="11"/>
      <c r="AM374" s="11"/>
      <c r="AN374" s="11"/>
      <c r="AO374" s="11"/>
      <c r="AP374" s="11"/>
      <c r="AQ374" s="11"/>
      <c r="AR374" s="11"/>
      <c r="AS374" s="11"/>
    </row>
    <row r="375" spans="1:45" x14ac:dyDescent="0.25">
      <c r="A375" s="11"/>
      <c r="B375" s="51" t="s">
        <v>1082</v>
      </c>
      <c r="C375" s="11"/>
      <c r="D375" s="51"/>
      <c r="E375" s="51"/>
      <c r="F375" s="5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9"/>
      <c r="R375" s="11"/>
      <c r="S375" s="11"/>
      <c r="T375" s="11"/>
      <c r="U375" s="11"/>
      <c r="V375" s="9"/>
      <c r="W375" s="11"/>
      <c r="X375" s="11"/>
      <c r="Y375" s="52"/>
      <c r="Z375" s="11"/>
      <c r="AA375" s="11"/>
      <c r="AB375" s="11"/>
      <c r="AC375" s="11"/>
      <c r="AD375" s="11"/>
      <c r="AE375" s="11"/>
      <c r="AF375" s="11"/>
      <c r="AG375" s="10"/>
      <c r="AH375" s="10"/>
      <c r="AI375" s="10"/>
      <c r="AJ375" s="11"/>
      <c r="AK375" s="11"/>
      <c r="AM375" s="11"/>
      <c r="AN375" s="11"/>
      <c r="AO375" s="11"/>
      <c r="AP375" s="11"/>
      <c r="AQ375" s="11"/>
      <c r="AR375" s="11"/>
      <c r="AS375" s="11"/>
    </row>
    <row r="376" spans="1:45" x14ac:dyDescent="0.25">
      <c r="A376" s="11"/>
      <c r="B376" s="51" t="s">
        <v>1082</v>
      </c>
      <c r="C376" s="11"/>
      <c r="D376" s="51"/>
      <c r="E376" s="51"/>
      <c r="F376" s="5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9"/>
      <c r="R376" s="11"/>
      <c r="S376" s="11"/>
      <c r="T376" s="11"/>
      <c r="U376" s="11"/>
      <c r="V376" s="9"/>
      <c r="W376" s="11"/>
      <c r="X376" s="11"/>
      <c r="Y376" s="52"/>
      <c r="Z376" s="11"/>
      <c r="AA376" s="11"/>
      <c r="AB376" s="11"/>
      <c r="AC376" s="11"/>
      <c r="AD376" s="11"/>
      <c r="AE376" s="11"/>
      <c r="AF376" s="11"/>
      <c r="AG376" s="10"/>
      <c r="AH376" s="10"/>
      <c r="AI376" s="10"/>
      <c r="AJ376" s="11"/>
      <c r="AK376" s="11"/>
      <c r="AM376" s="11"/>
      <c r="AN376" s="11"/>
      <c r="AO376" s="11"/>
      <c r="AP376" s="11"/>
      <c r="AQ376" s="11"/>
      <c r="AR376" s="11"/>
      <c r="AS376" s="11"/>
    </row>
    <row r="377" spans="1:45" x14ac:dyDescent="0.25">
      <c r="A377" s="11"/>
      <c r="B377" s="51" t="s">
        <v>1082</v>
      </c>
      <c r="C377" s="11"/>
      <c r="D377" s="51"/>
      <c r="E377" s="51"/>
      <c r="F377" s="5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9"/>
      <c r="R377" s="11"/>
      <c r="S377" s="11"/>
      <c r="T377" s="11"/>
      <c r="U377" s="11"/>
      <c r="V377" s="9"/>
      <c r="W377" s="11"/>
      <c r="X377" s="11"/>
      <c r="Y377" s="52"/>
      <c r="Z377" s="11"/>
      <c r="AA377" s="11"/>
      <c r="AB377" s="11"/>
      <c r="AC377" s="11"/>
      <c r="AD377" s="11"/>
      <c r="AE377" s="11"/>
      <c r="AF377" s="11"/>
      <c r="AG377" s="10"/>
      <c r="AH377" s="10"/>
      <c r="AI377" s="10"/>
      <c r="AJ377" s="11"/>
      <c r="AK377" s="11"/>
      <c r="AM377" s="11"/>
      <c r="AN377" s="11"/>
      <c r="AO377" s="11"/>
      <c r="AP377" s="11"/>
      <c r="AQ377" s="11"/>
      <c r="AR377" s="11"/>
      <c r="AS377" s="11"/>
    </row>
    <row r="378" spans="1:45" x14ac:dyDescent="0.25">
      <c r="A378" s="11"/>
      <c r="B378" s="51" t="s">
        <v>1082</v>
      </c>
      <c r="C378" s="11"/>
      <c r="D378" s="51"/>
      <c r="E378" s="51"/>
      <c r="F378" s="5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9"/>
      <c r="R378" s="11"/>
      <c r="S378" s="11"/>
      <c r="T378" s="11"/>
      <c r="U378" s="11"/>
      <c r="V378" s="9"/>
      <c r="W378" s="11"/>
      <c r="X378" s="11"/>
      <c r="Y378" s="52"/>
      <c r="Z378" s="11"/>
      <c r="AA378" s="11"/>
      <c r="AB378" s="11"/>
      <c r="AC378" s="11"/>
      <c r="AD378" s="11"/>
      <c r="AE378" s="11"/>
      <c r="AF378" s="11"/>
      <c r="AG378" s="10"/>
      <c r="AH378" s="10"/>
      <c r="AI378" s="10"/>
      <c r="AJ378" s="11"/>
      <c r="AK378" s="11"/>
      <c r="AM378" s="11"/>
      <c r="AN378" s="11"/>
      <c r="AO378" s="11"/>
      <c r="AP378" s="11"/>
      <c r="AQ378" s="11"/>
      <c r="AR378" s="11"/>
      <c r="AS378" s="11"/>
    </row>
    <row r="379" spans="1:45" x14ac:dyDescent="0.25">
      <c r="A379" s="11"/>
      <c r="B379" s="51" t="s">
        <v>1082</v>
      </c>
      <c r="C379" s="11"/>
      <c r="D379" s="51"/>
      <c r="E379" s="51"/>
      <c r="F379" s="5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9"/>
      <c r="R379" s="11"/>
      <c r="S379" s="11"/>
      <c r="T379" s="11"/>
      <c r="U379" s="11"/>
      <c r="V379" s="9"/>
      <c r="W379" s="11"/>
      <c r="X379" s="11"/>
      <c r="Y379" s="52"/>
      <c r="Z379" s="11"/>
      <c r="AA379" s="11"/>
      <c r="AB379" s="11"/>
      <c r="AC379" s="11"/>
      <c r="AD379" s="11"/>
      <c r="AE379" s="11"/>
      <c r="AF379" s="11"/>
      <c r="AG379" s="10"/>
      <c r="AH379" s="10"/>
      <c r="AI379" s="10"/>
      <c r="AJ379" s="11"/>
      <c r="AK379" s="11"/>
      <c r="AM379" s="11"/>
      <c r="AN379" s="11"/>
      <c r="AO379" s="11"/>
      <c r="AP379" s="11"/>
      <c r="AQ379" s="11"/>
      <c r="AR379" s="11"/>
      <c r="AS379" s="11"/>
    </row>
    <row r="380" spans="1:45" x14ac:dyDescent="0.25">
      <c r="A380" s="11"/>
      <c r="B380" s="51" t="s">
        <v>1082</v>
      </c>
      <c r="C380" s="11"/>
      <c r="D380" s="51"/>
      <c r="E380" s="51"/>
      <c r="F380" s="5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9"/>
      <c r="R380" s="11"/>
      <c r="S380" s="11"/>
      <c r="T380" s="11"/>
      <c r="U380" s="11"/>
      <c r="V380" s="9"/>
      <c r="W380" s="11"/>
      <c r="X380" s="11"/>
      <c r="Y380" s="52"/>
      <c r="Z380" s="11"/>
      <c r="AA380" s="11"/>
      <c r="AB380" s="11"/>
      <c r="AC380" s="11"/>
      <c r="AD380" s="11"/>
      <c r="AE380" s="11"/>
      <c r="AF380" s="11"/>
      <c r="AG380" s="10"/>
      <c r="AH380" s="10"/>
      <c r="AI380" s="10"/>
      <c r="AJ380" s="11"/>
      <c r="AK380" s="11"/>
      <c r="AM380" s="11"/>
      <c r="AN380" s="11"/>
      <c r="AO380" s="11"/>
      <c r="AP380" s="11"/>
      <c r="AQ380" s="11"/>
      <c r="AR380" s="11"/>
      <c r="AS380" s="11"/>
    </row>
    <row r="381" spans="1:45" x14ac:dyDescent="0.25">
      <c r="A381" s="11"/>
      <c r="B381" s="51" t="s">
        <v>1082</v>
      </c>
      <c r="C381" s="11"/>
      <c r="D381" s="51"/>
      <c r="E381" s="51"/>
      <c r="F381" s="5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9"/>
      <c r="R381" s="11"/>
      <c r="S381" s="11"/>
      <c r="T381" s="11"/>
      <c r="U381" s="11"/>
      <c r="V381" s="9"/>
      <c r="W381" s="11"/>
      <c r="X381" s="11"/>
      <c r="Y381" s="52"/>
      <c r="Z381" s="11"/>
      <c r="AA381" s="11"/>
      <c r="AB381" s="11"/>
      <c r="AC381" s="11"/>
      <c r="AD381" s="11"/>
      <c r="AE381" s="11"/>
      <c r="AF381" s="11"/>
      <c r="AG381" s="10"/>
      <c r="AH381" s="10"/>
      <c r="AI381" s="10"/>
      <c r="AJ381" s="11"/>
      <c r="AK381" s="11"/>
      <c r="AM381" s="11"/>
      <c r="AN381" s="11"/>
      <c r="AO381" s="11"/>
      <c r="AP381" s="11"/>
      <c r="AQ381" s="11"/>
      <c r="AR381" s="11"/>
      <c r="AS381" s="11"/>
    </row>
    <row r="382" spans="1:45" x14ac:dyDescent="0.25">
      <c r="A382" s="11"/>
      <c r="B382" s="51" t="s">
        <v>1082</v>
      </c>
      <c r="C382" s="11"/>
      <c r="D382" s="51"/>
      <c r="E382" s="51"/>
      <c r="F382" s="5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9"/>
      <c r="R382" s="11"/>
      <c r="S382" s="11"/>
      <c r="T382" s="11"/>
      <c r="U382" s="11"/>
      <c r="V382" s="9"/>
      <c r="W382" s="11"/>
      <c r="X382" s="11"/>
      <c r="Y382" s="52"/>
      <c r="Z382" s="11"/>
      <c r="AA382" s="11"/>
      <c r="AB382" s="11"/>
      <c r="AC382" s="11"/>
      <c r="AD382" s="11"/>
      <c r="AE382" s="11"/>
      <c r="AF382" s="11"/>
      <c r="AG382" s="10"/>
      <c r="AH382" s="10"/>
      <c r="AI382" s="10"/>
      <c r="AJ382" s="11"/>
      <c r="AK382" s="11"/>
      <c r="AM382" s="11"/>
      <c r="AN382" s="11"/>
      <c r="AO382" s="11"/>
      <c r="AP382" s="11"/>
      <c r="AQ382" s="11"/>
      <c r="AR382" s="11"/>
      <c r="AS382" s="11"/>
    </row>
    <row r="383" spans="1:45" x14ac:dyDescent="0.25">
      <c r="A383" s="11"/>
      <c r="B383" s="51" t="s">
        <v>1082</v>
      </c>
      <c r="C383" s="11"/>
      <c r="D383" s="51"/>
      <c r="E383" s="51"/>
      <c r="F383" s="5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9"/>
      <c r="R383" s="11"/>
      <c r="S383" s="11"/>
      <c r="T383" s="11"/>
      <c r="U383" s="11"/>
      <c r="V383" s="9"/>
      <c r="W383" s="11"/>
      <c r="X383" s="11"/>
      <c r="Y383" s="52"/>
      <c r="Z383" s="11"/>
      <c r="AA383" s="11"/>
      <c r="AB383" s="11"/>
      <c r="AC383" s="11"/>
      <c r="AD383" s="11"/>
      <c r="AE383" s="11"/>
      <c r="AF383" s="11"/>
      <c r="AG383" s="10"/>
      <c r="AH383" s="10"/>
      <c r="AI383" s="10"/>
      <c r="AJ383" s="11"/>
      <c r="AK383" s="11"/>
      <c r="AM383" s="11"/>
      <c r="AN383" s="11"/>
      <c r="AO383" s="11"/>
      <c r="AP383" s="11"/>
      <c r="AQ383" s="11"/>
      <c r="AR383" s="11"/>
      <c r="AS383" s="11"/>
    </row>
    <row r="384" spans="1:45" x14ac:dyDescent="0.25">
      <c r="A384" s="11"/>
      <c r="B384" s="51" t="s">
        <v>1082</v>
      </c>
      <c r="C384" s="11"/>
      <c r="D384" s="51"/>
      <c r="E384" s="51"/>
      <c r="F384" s="5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9"/>
      <c r="R384" s="11"/>
      <c r="S384" s="11"/>
      <c r="T384" s="11"/>
      <c r="U384" s="11"/>
      <c r="V384" s="9"/>
      <c r="W384" s="11"/>
      <c r="X384" s="11"/>
      <c r="Y384" s="52"/>
      <c r="Z384" s="11"/>
      <c r="AA384" s="11"/>
      <c r="AB384" s="11"/>
      <c r="AC384" s="11"/>
      <c r="AD384" s="11"/>
      <c r="AE384" s="11"/>
      <c r="AF384" s="11"/>
      <c r="AG384" s="10"/>
      <c r="AH384" s="10"/>
      <c r="AI384" s="10"/>
      <c r="AJ384" s="11"/>
      <c r="AK384" s="11"/>
      <c r="AM384" s="11"/>
      <c r="AN384" s="11"/>
      <c r="AO384" s="11"/>
      <c r="AP384" s="11"/>
      <c r="AQ384" s="11"/>
      <c r="AR384" s="11"/>
      <c r="AS384" s="11"/>
    </row>
    <row r="385" spans="1:45" x14ac:dyDescent="0.25">
      <c r="A385" s="11"/>
      <c r="B385" s="51" t="s">
        <v>1082</v>
      </c>
      <c r="C385" s="11"/>
      <c r="D385" s="51"/>
      <c r="E385" s="51"/>
      <c r="F385" s="5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9"/>
      <c r="R385" s="11"/>
      <c r="S385" s="11"/>
      <c r="T385" s="11"/>
      <c r="U385" s="11"/>
      <c r="V385" s="9"/>
      <c r="W385" s="11"/>
      <c r="X385" s="11"/>
      <c r="Y385" s="52"/>
      <c r="Z385" s="11"/>
      <c r="AA385" s="11"/>
      <c r="AB385" s="11"/>
      <c r="AC385" s="11"/>
      <c r="AD385" s="11"/>
      <c r="AE385" s="11"/>
      <c r="AF385" s="11"/>
      <c r="AG385" s="10"/>
      <c r="AH385" s="10"/>
      <c r="AI385" s="10"/>
      <c r="AJ385" s="11"/>
      <c r="AK385" s="11"/>
      <c r="AM385" s="11"/>
      <c r="AN385" s="11"/>
      <c r="AO385" s="11"/>
      <c r="AP385" s="11"/>
      <c r="AQ385" s="11"/>
      <c r="AR385" s="11"/>
      <c r="AS385" s="11"/>
    </row>
    <row r="386" spans="1:45" x14ac:dyDescent="0.25">
      <c r="A386" s="11"/>
      <c r="B386" s="51" t="s">
        <v>1082</v>
      </c>
      <c r="C386" s="11"/>
      <c r="D386" s="51"/>
      <c r="E386" s="51"/>
      <c r="F386" s="5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9"/>
      <c r="R386" s="11"/>
      <c r="S386" s="11"/>
      <c r="T386" s="11"/>
      <c r="U386" s="11"/>
      <c r="V386" s="9"/>
      <c r="W386" s="11"/>
      <c r="X386" s="11"/>
      <c r="Y386" s="52"/>
      <c r="Z386" s="11"/>
      <c r="AA386" s="11"/>
      <c r="AB386" s="11"/>
      <c r="AC386" s="11"/>
      <c r="AD386" s="11"/>
      <c r="AE386" s="11"/>
      <c r="AF386" s="11"/>
      <c r="AG386" s="10"/>
      <c r="AH386" s="10"/>
      <c r="AI386" s="10"/>
      <c r="AJ386" s="11"/>
      <c r="AK386" s="11"/>
      <c r="AM386" s="11"/>
      <c r="AN386" s="11"/>
      <c r="AO386" s="11"/>
      <c r="AP386" s="11"/>
      <c r="AQ386" s="11"/>
      <c r="AR386" s="11"/>
      <c r="AS386" s="11"/>
    </row>
    <row r="387" spans="1:45" x14ac:dyDescent="0.25">
      <c r="A387" s="11"/>
      <c r="B387" s="51" t="s">
        <v>1082</v>
      </c>
      <c r="C387" s="11"/>
      <c r="D387" s="51"/>
      <c r="E387" s="51"/>
      <c r="F387" s="5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9"/>
      <c r="R387" s="11"/>
      <c r="S387" s="11"/>
      <c r="T387" s="11"/>
      <c r="U387" s="11"/>
      <c r="V387" s="9"/>
      <c r="W387" s="11"/>
      <c r="X387" s="11"/>
      <c r="Y387" s="52"/>
      <c r="Z387" s="11"/>
      <c r="AA387" s="11"/>
      <c r="AB387" s="11"/>
      <c r="AC387" s="11"/>
      <c r="AD387" s="11"/>
      <c r="AE387" s="11"/>
      <c r="AF387" s="11"/>
      <c r="AG387" s="10"/>
      <c r="AH387" s="10"/>
      <c r="AI387" s="10"/>
      <c r="AJ387" s="11"/>
      <c r="AK387" s="11"/>
      <c r="AM387" s="11"/>
      <c r="AN387" s="11"/>
      <c r="AO387" s="11"/>
      <c r="AP387" s="11"/>
      <c r="AQ387" s="11"/>
      <c r="AR387" s="11"/>
      <c r="AS387" s="11"/>
    </row>
    <row r="388" spans="1:45" x14ac:dyDescent="0.25">
      <c r="A388" s="11"/>
      <c r="B388" s="51" t="s">
        <v>1082</v>
      </c>
      <c r="C388" s="11"/>
      <c r="D388" s="51"/>
      <c r="E388" s="51"/>
      <c r="F388" s="5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9"/>
      <c r="R388" s="11"/>
      <c r="S388" s="11"/>
      <c r="T388" s="11"/>
      <c r="U388" s="11"/>
      <c r="V388" s="9"/>
      <c r="W388" s="11"/>
      <c r="X388" s="11"/>
      <c r="Y388" s="52"/>
      <c r="Z388" s="11"/>
      <c r="AA388" s="11"/>
      <c r="AB388" s="11"/>
      <c r="AC388" s="11"/>
      <c r="AD388" s="11"/>
      <c r="AE388" s="11"/>
      <c r="AF388" s="11"/>
      <c r="AG388" s="10"/>
      <c r="AH388" s="10"/>
      <c r="AI388" s="10"/>
      <c r="AJ388" s="11"/>
      <c r="AK388" s="11"/>
      <c r="AM388" s="11"/>
      <c r="AN388" s="11"/>
      <c r="AO388" s="11"/>
      <c r="AP388" s="11"/>
      <c r="AQ388" s="11"/>
      <c r="AR388" s="11"/>
      <c r="AS388" s="11"/>
    </row>
    <row r="389" spans="1:45" x14ac:dyDescent="0.25">
      <c r="A389" s="11"/>
      <c r="B389" s="51" t="s">
        <v>1082</v>
      </c>
      <c r="C389" s="11"/>
      <c r="D389" s="51"/>
      <c r="E389" s="51"/>
      <c r="F389" s="5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9"/>
      <c r="R389" s="11"/>
      <c r="S389" s="11"/>
      <c r="T389" s="11"/>
      <c r="U389" s="11"/>
      <c r="V389" s="9"/>
      <c r="W389" s="11"/>
      <c r="X389" s="11"/>
      <c r="Y389" s="52"/>
      <c r="Z389" s="11"/>
      <c r="AA389" s="11"/>
      <c r="AB389" s="11"/>
      <c r="AC389" s="11"/>
      <c r="AD389" s="11"/>
      <c r="AE389" s="11"/>
      <c r="AF389" s="11"/>
      <c r="AG389" s="10"/>
      <c r="AH389" s="10"/>
      <c r="AI389" s="10"/>
      <c r="AJ389" s="11"/>
      <c r="AK389" s="11"/>
      <c r="AM389" s="11"/>
      <c r="AN389" s="11"/>
      <c r="AO389" s="11"/>
      <c r="AP389" s="11"/>
      <c r="AQ389" s="11"/>
      <c r="AR389" s="11"/>
      <c r="AS389" s="11"/>
    </row>
    <row r="390" spans="1:45" x14ac:dyDescent="0.25">
      <c r="A390" s="11"/>
      <c r="B390" s="51" t="s">
        <v>1082</v>
      </c>
      <c r="C390" s="11"/>
      <c r="D390" s="51"/>
      <c r="E390" s="51"/>
      <c r="F390" s="5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9"/>
      <c r="R390" s="11"/>
      <c r="S390" s="11"/>
      <c r="T390" s="11"/>
      <c r="U390" s="11"/>
      <c r="V390" s="9"/>
      <c r="W390" s="11"/>
      <c r="X390" s="11"/>
      <c r="Y390" s="52"/>
      <c r="Z390" s="11"/>
      <c r="AA390" s="11"/>
      <c r="AB390" s="11"/>
      <c r="AC390" s="11"/>
      <c r="AD390" s="11"/>
      <c r="AE390" s="11"/>
      <c r="AF390" s="11"/>
      <c r="AG390" s="10"/>
      <c r="AH390" s="10"/>
      <c r="AI390" s="10"/>
      <c r="AJ390" s="11"/>
      <c r="AK390" s="11"/>
      <c r="AM390" s="11"/>
      <c r="AN390" s="11"/>
      <c r="AO390" s="11"/>
      <c r="AP390" s="11"/>
      <c r="AQ390" s="11"/>
      <c r="AR390" s="11"/>
      <c r="AS390" s="11"/>
    </row>
    <row r="391" spans="1:45" x14ac:dyDescent="0.25">
      <c r="A391" s="11"/>
      <c r="B391" s="51" t="s">
        <v>1082</v>
      </c>
      <c r="C391" s="11"/>
      <c r="D391" s="51"/>
      <c r="E391" s="51"/>
      <c r="F391" s="5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9"/>
      <c r="R391" s="11"/>
      <c r="S391" s="11"/>
      <c r="T391" s="11"/>
      <c r="U391" s="11"/>
      <c r="V391" s="9"/>
      <c r="W391" s="11"/>
      <c r="X391" s="11"/>
      <c r="Y391" s="52"/>
      <c r="Z391" s="11"/>
      <c r="AA391" s="11"/>
      <c r="AB391" s="11"/>
      <c r="AC391" s="11"/>
      <c r="AD391" s="11"/>
      <c r="AE391" s="11"/>
      <c r="AF391" s="11"/>
      <c r="AG391" s="10"/>
      <c r="AH391" s="10"/>
      <c r="AI391" s="10"/>
      <c r="AJ391" s="11"/>
      <c r="AK391" s="11"/>
      <c r="AM391" s="11"/>
      <c r="AN391" s="11"/>
      <c r="AO391" s="11"/>
      <c r="AP391" s="11"/>
      <c r="AQ391" s="11"/>
      <c r="AR391" s="11"/>
      <c r="AS391" s="11"/>
    </row>
    <row r="392" spans="1:45" x14ac:dyDescent="0.25">
      <c r="A392" s="11"/>
      <c r="B392" s="51" t="s">
        <v>1082</v>
      </c>
      <c r="C392" s="11"/>
      <c r="D392" s="51"/>
      <c r="E392" s="51"/>
      <c r="F392" s="5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9"/>
      <c r="R392" s="11"/>
      <c r="S392" s="11"/>
      <c r="T392" s="11"/>
      <c r="U392" s="11"/>
      <c r="V392" s="9"/>
      <c r="W392" s="11"/>
      <c r="X392" s="11"/>
      <c r="Y392" s="52"/>
      <c r="Z392" s="11"/>
      <c r="AA392" s="11"/>
      <c r="AB392" s="11"/>
      <c r="AC392" s="11"/>
      <c r="AD392" s="11"/>
      <c r="AE392" s="11"/>
      <c r="AF392" s="11"/>
      <c r="AG392" s="10"/>
      <c r="AH392" s="10"/>
      <c r="AI392" s="10"/>
      <c r="AJ392" s="11"/>
      <c r="AK392" s="11"/>
      <c r="AM392" s="11"/>
      <c r="AN392" s="11"/>
      <c r="AO392" s="11"/>
      <c r="AP392" s="11"/>
      <c r="AQ392" s="11"/>
      <c r="AR392" s="11"/>
      <c r="AS392" s="11"/>
    </row>
    <row r="393" spans="1:45" x14ac:dyDescent="0.25">
      <c r="A393" s="11"/>
      <c r="B393" s="51" t="s">
        <v>1082</v>
      </c>
      <c r="C393" s="11"/>
      <c r="D393" s="51"/>
      <c r="E393" s="51"/>
      <c r="F393" s="5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9"/>
      <c r="R393" s="11"/>
      <c r="S393" s="11"/>
      <c r="T393" s="11"/>
      <c r="U393" s="11"/>
      <c r="V393" s="9"/>
      <c r="W393" s="11"/>
      <c r="X393" s="11"/>
      <c r="Y393" s="52"/>
      <c r="Z393" s="11"/>
      <c r="AA393" s="11"/>
      <c r="AB393" s="11"/>
      <c r="AC393" s="11"/>
      <c r="AD393" s="11"/>
      <c r="AE393" s="11"/>
      <c r="AF393" s="11"/>
      <c r="AG393" s="10"/>
      <c r="AH393" s="10"/>
      <c r="AI393" s="10"/>
      <c r="AJ393" s="11"/>
      <c r="AK393" s="11"/>
      <c r="AM393" s="11"/>
      <c r="AN393" s="11"/>
      <c r="AO393" s="11"/>
      <c r="AP393" s="11"/>
      <c r="AQ393" s="11"/>
      <c r="AR393" s="11"/>
      <c r="AS393" s="11"/>
    </row>
    <row r="394" spans="1:45" x14ac:dyDescent="0.25">
      <c r="A394" s="11"/>
      <c r="B394" s="51" t="s">
        <v>1082</v>
      </c>
      <c r="C394" s="11"/>
      <c r="D394" s="51"/>
      <c r="E394" s="51"/>
      <c r="F394" s="5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9"/>
      <c r="R394" s="11"/>
      <c r="S394" s="11"/>
      <c r="T394" s="11"/>
      <c r="U394" s="11"/>
      <c r="V394" s="9"/>
      <c r="W394" s="11"/>
      <c r="X394" s="11"/>
      <c r="Y394" s="52"/>
      <c r="Z394" s="11"/>
      <c r="AA394" s="11"/>
      <c r="AB394" s="11"/>
      <c r="AC394" s="11"/>
      <c r="AD394" s="11"/>
      <c r="AE394" s="11"/>
      <c r="AF394" s="11"/>
      <c r="AG394" s="10"/>
      <c r="AH394" s="10"/>
      <c r="AI394" s="10"/>
      <c r="AJ394" s="11"/>
      <c r="AK394" s="11"/>
      <c r="AM394" s="11"/>
      <c r="AN394" s="11"/>
      <c r="AO394" s="11"/>
      <c r="AP394" s="11"/>
      <c r="AQ394" s="11"/>
      <c r="AR394" s="11"/>
      <c r="AS394" s="11"/>
    </row>
    <row r="395" spans="1:45" x14ac:dyDescent="0.25">
      <c r="A395" s="11"/>
      <c r="B395" s="51" t="s">
        <v>1082</v>
      </c>
      <c r="C395" s="11"/>
      <c r="D395" s="51"/>
      <c r="E395" s="51"/>
      <c r="F395" s="5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9"/>
      <c r="R395" s="11"/>
      <c r="S395" s="11"/>
      <c r="T395" s="11"/>
      <c r="U395" s="11"/>
      <c r="V395" s="9"/>
      <c r="W395" s="11"/>
      <c r="X395" s="11"/>
      <c r="Y395" s="52"/>
      <c r="Z395" s="11"/>
      <c r="AA395" s="11"/>
      <c r="AB395" s="11"/>
      <c r="AC395" s="11"/>
      <c r="AD395" s="11"/>
      <c r="AE395" s="11"/>
      <c r="AF395" s="11"/>
      <c r="AG395" s="10"/>
      <c r="AH395" s="10"/>
      <c r="AI395" s="10"/>
      <c r="AJ395" s="11"/>
      <c r="AK395" s="11"/>
      <c r="AM395" s="11"/>
      <c r="AN395" s="11"/>
      <c r="AO395" s="11"/>
      <c r="AP395" s="11"/>
      <c r="AQ395" s="11"/>
      <c r="AR395" s="11"/>
      <c r="AS395" s="11"/>
    </row>
    <row r="396" spans="1:45" x14ac:dyDescent="0.25">
      <c r="A396" s="11"/>
      <c r="B396" s="51" t="s">
        <v>1082</v>
      </c>
      <c r="C396" s="11"/>
      <c r="D396" s="51"/>
      <c r="E396" s="51"/>
      <c r="F396" s="5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9"/>
      <c r="R396" s="11"/>
      <c r="S396" s="11"/>
      <c r="T396" s="11"/>
      <c r="U396" s="11"/>
      <c r="V396" s="9"/>
      <c r="W396" s="11"/>
      <c r="X396" s="11"/>
      <c r="Y396" s="52"/>
      <c r="Z396" s="11"/>
      <c r="AA396" s="11"/>
      <c r="AB396" s="11"/>
      <c r="AC396" s="11"/>
      <c r="AD396" s="11"/>
      <c r="AE396" s="11"/>
      <c r="AF396" s="11"/>
      <c r="AG396" s="10"/>
      <c r="AH396" s="10"/>
      <c r="AI396" s="10"/>
      <c r="AJ396" s="11"/>
      <c r="AK396" s="11"/>
      <c r="AM396" s="11"/>
      <c r="AN396" s="11"/>
      <c r="AO396" s="11"/>
      <c r="AP396" s="11"/>
      <c r="AQ396" s="11"/>
      <c r="AR396" s="11"/>
      <c r="AS396" s="11"/>
    </row>
    <row r="397" spans="1:45" x14ac:dyDescent="0.25">
      <c r="A397" s="11"/>
      <c r="B397" s="51" t="s">
        <v>1082</v>
      </c>
      <c r="C397" s="11"/>
      <c r="D397" s="51"/>
      <c r="E397" s="51"/>
      <c r="F397" s="5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9"/>
      <c r="R397" s="11"/>
      <c r="S397" s="11"/>
      <c r="T397" s="11"/>
      <c r="U397" s="11"/>
      <c r="V397" s="9"/>
      <c r="W397" s="11"/>
      <c r="X397" s="11"/>
      <c r="Y397" s="52"/>
      <c r="Z397" s="11"/>
      <c r="AA397" s="11"/>
      <c r="AB397" s="11"/>
      <c r="AC397" s="11"/>
      <c r="AD397" s="11"/>
      <c r="AE397" s="11"/>
      <c r="AF397" s="11"/>
      <c r="AG397" s="10"/>
      <c r="AH397" s="10"/>
      <c r="AI397" s="10"/>
      <c r="AJ397" s="11"/>
      <c r="AK397" s="11"/>
      <c r="AM397" s="11"/>
      <c r="AN397" s="11"/>
      <c r="AO397" s="11"/>
      <c r="AP397" s="11"/>
      <c r="AQ397" s="11"/>
      <c r="AR397" s="11"/>
      <c r="AS397" s="11"/>
    </row>
    <row r="398" spans="1:45" x14ac:dyDescent="0.25">
      <c r="A398" s="11"/>
      <c r="B398" s="51" t="s">
        <v>1082</v>
      </c>
      <c r="C398" s="11"/>
      <c r="D398" s="51"/>
      <c r="E398" s="51"/>
      <c r="F398" s="5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9"/>
      <c r="R398" s="11"/>
      <c r="S398" s="11"/>
      <c r="T398" s="11"/>
      <c r="U398" s="11"/>
      <c r="V398" s="9"/>
      <c r="W398" s="11"/>
      <c r="X398" s="11"/>
      <c r="Y398" s="52"/>
      <c r="Z398" s="11"/>
      <c r="AA398" s="11"/>
      <c r="AB398" s="11"/>
      <c r="AC398" s="11"/>
      <c r="AD398" s="11"/>
      <c r="AE398" s="11"/>
      <c r="AF398" s="11"/>
      <c r="AG398" s="10"/>
      <c r="AH398" s="10"/>
      <c r="AI398" s="10"/>
      <c r="AJ398" s="11"/>
      <c r="AK398" s="11"/>
      <c r="AM398" s="11"/>
      <c r="AN398" s="11"/>
      <c r="AO398" s="11"/>
      <c r="AP398" s="11"/>
      <c r="AQ398" s="11"/>
      <c r="AR398" s="11"/>
      <c r="AS398" s="11"/>
    </row>
    <row r="399" spans="1:45" x14ac:dyDescent="0.25">
      <c r="A399" s="11"/>
      <c r="B399" s="51" t="s">
        <v>1082</v>
      </c>
      <c r="C399" s="11"/>
      <c r="D399" s="51"/>
      <c r="E399" s="51"/>
      <c r="F399" s="5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9"/>
      <c r="R399" s="11"/>
      <c r="S399" s="11"/>
      <c r="T399" s="11"/>
      <c r="U399" s="11"/>
      <c r="V399" s="9"/>
      <c r="W399" s="11"/>
      <c r="X399" s="11"/>
      <c r="Y399" s="52"/>
      <c r="Z399" s="11"/>
      <c r="AA399" s="11"/>
      <c r="AB399" s="11"/>
      <c r="AC399" s="11"/>
      <c r="AD399" s="11"/>
      <c r="AE399" s="11"/>
      <c r="AF399" s="11"/>
      <c r="AG399" s="10"/>
      <c r="AH399" s="10"/>
      <c r="AI399" s="10"/>
      <c r="AJ399" s="11"/>
      <c r="AK399" s="11"/>
      <c r="AM399" s="11"/>
      <c r="AN399" s="11"/>
      <c r="AO399" s="11"/>
      <c r="AP399" s="11"/>
      <c r="AQ399" s="11"/>
      <c r="AR399" s="11"/>
      <c r="AS399" s="11"/>
    </row>
    <row r="400" spans="1:45" x14ac:dyDescent="0.25">
      <c r="A400" s="11"/>
      <c r="B400" s="51" t="s">
        <v>1082</v>
      </c>
      <c r="C400" s="11"/>
      <c r="D400" s="51"/>
      <c r="E400" s="51"/>
      <c r="F400" s="5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9"/>
      <c r="R400" s="11"/>
      <c r="S400" s="11"/>
      <c r="T400" s="11"/>
      <c r="U400" s="11"/>
      <c r="V400" s="9"/>
      <c r="W400" s="11"/>
      <c r="X400" s="11"/>
      <c r="Y400" s="52"/>
      <c r="Z400" s="11"/>
      <c r="AA400" s="11"/>
      <c r="AB400" s="11"/>
      <c r="AC400" s="11"/>
      <c r="AD400" s="11"/>
      <c r="AE400" s="11"/>
      <c r="AF400" s="11"/>
      <c r="AG400" s="10"/>
      <c r="AH400" s="10"/>
      <c r="AI400" s="10"/>
      <c r="AJ400" s="11"/>
      <c r="AK400" s="11"/>
      <c r="AM400" s="11"/>
      <c r="AN400" s="11"/>
      <c r="AO400" s="11"/>
      <c r="AP400" s="11"/>
      <c r="AQ400" s="11"/>
      <c r="AR400" s="11"/>
      <c r="AS400" s="11"/>
    </row>
    <row r="401" spans="1:45" x14ac:dyDescent="0.25">
      <c r="A401" s="11"/>
      <c r="B401" s="51" t="s">
        <v>1082</v>
      </c>
      <c r="C401" s="11"/>
      <c r="D401" s="51"/>
      <c r="E401" s="51"/>
      <c r="F401" s="5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9"/>
      <c r="R401" s="11"/>
      <c r="S401" s="11"/>
      <c r="T401" s="11"/>
      <c r="U401" s="11"/>
      <c r="V401" s="9"/>
      <c r="W401" s="11"/>
      <c r="X401" s="11"/>
      <c r="Y401" s="52"/>
      <c r="Z401" s="11"/>
      <c r="AA401" s="11"/>
      <c r="AB401" s="11"/>
      <c r="AC401" s="11"/>
      <c r="AD401" s="11"/>
      <c r="AE401" s="11"/>
      <c r="AF401" s="11"/>
      <c r="AG401" s="10"/>
      <c r="AH401" s="10"/>
      <c r="AI401" s="10"/>
      <c r="AJ401" s="11"/>
      <c r="AK401" s="11"/>
      <c r="AM401" s="11"/>
      <c r="AN401" s="11"/>
      <c r="AO401" s="11"/>
      <c r="AP401" s="11"/>
      <c r="AQ401" s="11"/>
      <c r="AR401" s="11"/>
      <c r="AS401" s="11"/>
    </row>
    <row r="402" spans="1:45" x14ac:dyDescent="0.25">
      <c r="A402" s="11"/>
      <c r="B402" s="51" t="s">
        <v>1082</v>
      </c>
      <c r="C402" s="11"/>
      <c r="D402" s="51"/>
      <c r="E402" s="51"/>
      <c r="F402" s="5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9"/>
      <c r="R402" s="11"/>
      <c r="S402" s="11"/>
      <c r="T402" s="11"/>
      <c r="U402" s="11"/>
      <c r="V402" s="9"/>
      <c r="W402" s="11"/>
      <c r="X402" s="11"/>
      <c r="Y402" s="52"/>
      <c r="Z402" s="11"/>
      <c r="AA402" s="11"/>
      <c r="AB402" s="11"/>
      <c r="AC402" s="11"/>
      <c r="AD402" s="11"/>
      <c r="AE402" s="11"/>
      <c r="AF402" s="11"/>
      <c r="AG402" s="10"/>
      <c r="AH402" s="10"/>
      <c r="AI402" s="10"/>
      <c r="AJ402" s="11"/>
      <c r="AK402" s="11"/>
      <c r="AM402" s="11"/>
      <c r="AN402" s="11"/>
      <c r="AO402" s="11"/>
      <c r="AP402" s="11"/>
      <c r="AQ402" s="11"/>
      <c r="AR402" s="11"/>
      <c r="AS402" s="11"/>
    </row>
    <row r="403" spans="1:45" x14ac:dyDescent="0.25">
      <c r="A403" s="11"/>
      <c r="B403" s="51" t="s">
        <v>1082</v>
      </c>
      <c r="C403" s="11"/>
      <c r="D403" s="51"/>
      <c r="E403" s="51"/>
      <c r="F403" s="5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9"/>
      <c r="R403" s="11"/>
      <c r="S403" s="11"/>
      <c r="T403" s="11"/>
      <c r="U403" s="11"/>
      <c r="V403" s="9"/>
      <c r="W403" s="11"/>
      <c r="X403" s="11"/>
      <c r="Y403" s="52"/>
      <c r="Z403" s="11"/>
      <c r="AA403" s="11"/>
      <c r="AB403" s="11"/>
      <c r="AC403" s="11"/>
      <c r="AD403" s="11"/>
      <c r="AE403" s="11"/>
      <c r="AF403" s="11"/>
      <c r="AG403" s="10"/>
      <c r="AH403" s="10"/>
      <c r="AI403" s="10"/>
      <c r="AJ403" s="11"/>
      <c r="AK403" s="11"/>
      <c r="AM403" s="11"/>
      <c r="AN403" s="11"/>
      <c r="AO403" s="11"/>
      <c r="AP403" s="11"/>
      <c r="AQ403" s="11"/>
      <c r="AR403" s="11"/>
      <c r="AS403" s="11"/>
    </row>
    <row r="404" spans="1:45" x14ac:dyDescent="0.25">
      <c r="A404" s="11"/>
      <c r="B404" s="51" t="s">
        <v>1082</v>
      </c>
      <c r="C404" s="11"/>
      <c r="D404" s="51"/>
      <c r="E404" s="51"/>
      <c r="F404" s="5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9"/>
      <c r="R404" s="11"/>
      <c r="S404" s="11"/>
      <c r="T404" s="11"/>
      <c r="U404" s="11"/>
      <c r="V404" s="9"/>
      <c r="W404" s="11"/>
      <c r="X404" s="11"/>
      <c r="Y404" s="52"/>
      <c r="Z404" s="11"/>
      <c r="AA404" s="11"/>
      <c r="AB404" s="11"/>
      <c r="AC404" s="11"/>
      <c r="AD404" s="11"/>
      <c r="AE404" s="11"/>
      <c r="AF404" s="11"/>
      <c r="AG404" s="10"/>
      <c r="AH404" s="10"/>
      <c r="AI404" s="10"/>
      <c r="AJ404" s="11"/>
      <c r="AK404" s="11"/>
      <c r="AM404" s="11"/>
      <c r="AN404" s="11"/>
      <c r="AO404" s="11"/>
      <c r="AP404" s="11"/>
      <c r="AQ404" s="11"/>
      <c r="AR404" s="11"/>
      <c r="AS404" s="11"/>
    </row>
    <row r="405" spans="1:45" x14ac:dyDescent="0.25">
      <c r="A405" s="11"/>
      <c r="B405" s="51" t="s">
        <v>1082</v>
      </c>
      <c r="C405" s="11"/>
      <c r="D405" s="51"/>
      <c r="E405" s="51"/>
      <c r="F405" s="5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9"/>
      <c r="R405" s="11"/>
      <c r="S405" s="11"/>
      <c r="T405" s="11"/>
      <c r="U405" s="11"/>
      <c r="V405" s="9"/>
      <c r="W405" s="11"/>
      <c r="X405" s="11"/>
      <c r="Y405" s="52"/>
      <c r="Z405" s="11"/>
      <c r="AA405" s="11"/>
      <c r="AB405" s="11"/>
      <c r="AC405" s="11"/>
      <c r="AD405" s="11"/>
      <c r="AE405" s="11"/>
      <c r="AF405" s="11"/>
      <c r="AG405" s="10"/>
      <c r="AH405" s="10"/>
      <c r="AI405" s="10"/>
      <c r="AJ405" s="11"/>
      <c r="AK405" s="11"/>
      <c r="AM405" s="11"/>
      <c r="AN405" s="11"/>
      <c r="AO405" s="11"/>
      <c r="AP405" s="11"/>
      <c r="AQ405" s="11"/>
      <c r="AR405" s="11"/>
      <c r="AS405" s="11"/>
    </row>
    <row r="406" spans="1:45" x14ac:dyDescent="0.25">
      <c r="A406" s="11"/>
      <c r="B406" s="51" t="s">
        <v>1082</v>
      </c>
      <c r="C406" s="11"/>
      <c r="D406" s="51"/>
      <c r="E406" s="51"/>
      <c r="F406" s="5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9"/>
      <c r="R406" s="11"/>
      <c r="S406" s="11"/>
      <c r="T406" s="11"/>
      <c r="U406" s="11"/>
      <c r="V406" s="9"/>
      <c r="W406" s="11"/>
      <c r="X406" s="11"/>
      <c r="Y406" s="52"/>
      <c r="Z406" s="11"/>
      <c r="AA406" s="11"/>
      <c r="AB406" s="11"/>
      <c r="AC406" s="11"/>
      <c r="AD406" s="11"/>
      <c r="AE406" s="11"/>
      <c r="AF406" s="11"/>
      <c r="AG406" s="10"/>
      <c r="AH406" s="10"/>
      <c r="AI406" s="10"/>
      <c r="AJ406" s="11"/>
      <c r="AK406" s="11"/>
      <c r="AM406" s="11"/>
      <c r="AN406" s="11"/>
      <c r="AO406" s="11"/>
      <c r="AP406" s="11"/>
      <c r="AQ406" s="11"/>
      <c r="AR406" s="11"/>
      <c r="AS406" s="11"/>
    </row>
    <row r="407" spans="1:45" x14ac:dyDescent="0.25">
      <c r="A407" s="11"/>
      <c r="B407" s="51" t="s">
        <v>1082</v>
      </c>
      <c r="C407" s="11"/>
      <c r="D407" s="51"/>
      <c r="E407" s="51"/>
      <c r="F407" s="5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9"/>
      <c r="R407" s="11"/>
      <c r="S407" s="11"/>
      <c r="T407" s="11"/>
      <c r="U407" s="11"/>
      <c r="V407" s="9"/>
      <c r="W407" s="11"/>
      <c r="X407" s="11"/>
      <c r="Y407" s="52"/>
      <c r="Z407" s="11"/>
      <c r="AA407" s="11"/>
      <c r="AB407" s="11"/>
      <c r="AC407" s="11"/>
      <c r="AD407" s="11"/>
      <c r="AE407" s="11"/>
      <c r="AF407" s="11"/>
      <c r="AG407" s="10"/>
      <c r="AH407" s="10"/>
      <c r="AI407" s="10"/>
      <c r="AJ407" s="11"/>
      <c r="AK407" s="11"/>
      <c r="AM407" s="11"/>
      <c r="AN407" s="11"/>
      <c r="AO407" s="11"/>
      <c r="AP407" s="11"/>
      <c r="AQ407" s="11"/>
      <c r="AR407" s="11"/>
      <c r="AS407" s="11"/>
    </row>
    <row r="408" spans="1:45" x14ac:dyDescent="0.25">
      <c r="A408" s="11"/>
      <c r="B408" s="51" t="s">
        <v>1082</v>
      </c>
      <c r="C408" s="11"/>
      <c r="D408" s="51"/>
      <c r="E408" s="51"/>
      <c r="F408" s="5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9"/>
      <c r="R408" s="11"/>
      <c r="S408" s="11"/>
      <c r="T408" s="11"/>
      <c r="U408" s="11"/>
      <c r="V408" s="9"/>
      <c r="W408" s="11"/>
      <c r="X408" s="11"/>
      <c r="Y408" s="52"/>
      <c r="Z408" s="11"/>
      <c r="AA408" s="11"/>
      <c r="AB408" s="11"/>
      <c r="AC408" s="11"/>
      <c r="AD408" s="11"/>
      <c r="AE408" s="11"/>
      <c r="AF408" s="11"/>
      <c r="AG408" s="10"/>
      <c r="AH408" s="10"/>
      <c r="AI408" s="10"/>
      <c r="AJ408" s="11"/>
      <c r="AK408" s="11"/>
      <c r="AM408" s="11"/>
      <c r="AN408" s="11"/>
      <c r="AO408" s="11"/>
      <c r="AP408" s="11"/>
      <c r="AQ408" s="11"/>
      <c r="AR408" s="11"/>
      <c r="AS408" s="11"/>
    </row>
    <row r="409" spans="1:45" x14ac:dyDescent="0.25">
      <c r="A409" s="11"/>
      <c r="B409" s="51" t="s">
        <v>1082</v>
      </c>
      <c r="C409" s="11"/>
      <c r="D409" s="51"/>
      <c r="E409" s="51"/>
      <c r="F409" s="5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9"/>
      <c r="R409" s="11"/>
      <c r="S409" s="11"/>
      <c r="T409" s="11"/>
      <c r="U409" s="11"/>
      <c r="V409" s="9"/>
      <c r="W409" s="11"/>
      <c r="X409" s="11"/>
      <c r="Y409" s="52"/>
      <c r="Z409" s="11"/>
      <c r="AA409" s="11"/>
      <c r="AB409" s="11"/>
      <c r="AC409" s="11"/>
      <c r="AD409" s="11"/>
      <c r="AE409" s="11"/>
      <c r="AF409" s="11"/>
      <c r="AG409" s="10"/>
      <c r="AH409" s="10"/>
      <c r="AI409" s="10"/>
      <c r="AJ409" s="11"/>
      <c r="AK409" s="11"/>
      <c r="AM409" s="11"/>
      <c r="AN409" s="11"/>
      <c r="AO409" s="11"/>
      <c r="AP409" s="11"/>
      <c r="AQ409" s="11"/>
      <c r="AR409" s="11"/>
      <c r="AS409" s="11"/>
    </row>
    <row r="410" spans="1:45" x14ac:dyDescent="0.25">
      <c r="A410" s="11"/>
      <c r="B410" s="51" t="s">
        <v>1082</v>
      </c>
      <c r="C410" s="11"/>
      <c r="D410" s="51"/>
      <c r="E410" s="51"/>
      <c r="F410" s="5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9"/>
      <c r="R410" s="11"/>
      <c r="S410" s="11"/>
      <c r="T410" s="11"/>
      <c r="U410" s="11"/>
      <c r="V410" s="9"/>
      <c r="W410" s="11"/>
      <c r="X410" s="11"/>
      <c r="Y410" s="52"/>
      <c r="Z410" s="11"/>
      <c r="AA410" s="11"/>
      <c r="AB410" s="11"/>
      <c r="AC410" s="11"/>
      <c r="AD410" s="11"/>
      <c r="AE410" s="11"/>
      <c r="AF410" s="11"/>
      <c r="AG410" s="10"/>
      <c r="AH410" s="10"/>
      <c r="AI410" s="10"/>
      <c r="AJ410" s="11"/>
      <c r="AK410" s="11"/>
      <c r="AM410" s="11"/>
      <c r="AN410" s="11"/>
      <c r="AO410" s="11"/>
      <c r="AP410" s="11"/>
      <c r="AQ410" s="11"/>
      <c r="AR410" s="11"/>
      <c r="AS410" s="11"/>
    </row>
    <row r="411" spans="1:45" x14ac:dyDescent="0.25">
      <c r="A411" s="11"/>
      <c r="B411" s="51" t="s">
        <v>1082</v>
      </c>
      <c r="C411" s="11"/>
      <c r="D411" s="51"/>
      <c r="E411" s="51"/>
      <c r="F411" s="5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9"/>
      <c r="R411" s="11"/>
      <c r="S411" s="11"/>
      <c r="T411" s="11"/>
      <c r="U411" s="11"/>
      <c r="V411" s="9"/>
      <c r="W411" s="11"/>
      <c r="X411" s="11"/>
      <c r="Y411" s="52"/>
      <c r="Z411" s="11"/>
      <c r="AA411" s="11"/>
      <c r="AB411" s="11"/>
      <c r="AC411" s="11"/>
      <c r="AD411" s="11"/>
      <c r="AE411" s="11"/>
      <c r="AF411" s="11"/>
      <c r="AG411" s="10"/>
      <c r="AH411" s="10"/>
      <c r="AI411" s="10"/>
      <c r="AJ411" s="11"/>
      <c r="AK411" s="11"/>
      <c r="AM411" s="11"/>
      <c r="AN411" s="11"/>
      <c r="AO411" s="11"/>
      <c r="AP411" s="11"/>
      <c r="AQ411" s="11"/>
      <c r="AR411" s="11"/>
      <c r="AS411" s="11"/>
    </row>
    <row r="412" spans="1:45" x14ac:dyDescent="0.25">
      <c r="A412" s="11"/>
      <c r="B412" s="51" t="s">
        <v>1082</v>
      </c>
      <c r="C412" s="11"/>
      <c r="D412" s="51"/>
      <c r="E412" s="51"/>
      <c r="F412" s="5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9"/>
      <c r="R412" s="11"/>
      <c r="S412" s="11"/>
      <c r="T412" s="11"/>
      <c r="U412" s="11"/>
      <c r="V412" s="9"/>
      <c r="W412" s="11"/>
      <c r="X412" s="11"/>
      <c r="Y412" s="52"/>
      <c r="Z412" s="11"/>
      <c r="AA412" s="11"/>
      <c r="AB412" s="11"/>
      <c r="AC412" s="11"/>
      <c r="AD412" s="11"/>
      <c r="AE412" s="11"/>
      <c r="AF412" s="11"/>
      <c r="AG412" s="10"/>
      <c r="AH412" s="10"/>
      <c r="AI412" s="10"/>
      <c r="AJ412" s="11"/>
      <c r="AK412" s="11"/>
      <c r="AM412" s="11"/>
      <c r="AN412" s="11"/>
      <c r="AO412" s="11"/>
      <c r="AP412" s="11"/>
      <c r="AQ412" s="11"/>
      <c r="AR412" s="11"/>
      <c r="AS412" s="11"/>
    </row>
    <row r="413" spans="1:45" x14ac:dyDescent="0.25">
      <c r="A413" s="11"/>
      <c r="B413" s="51" t="s">
        <v>1082</v>
      </c>
      <c r="C413" s="11"/>
      <c r="D413" s="51"/>
      <c r="E413" s="51"/>
      <c r="F413" s="5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9"/>
      <c r="R413" s="11"/>
      <c r="S413" s="11"/>
      <c r="T413" s="11"/>
      <c r="U413" s="11"/>
      <c r="V413" s="9"/>
      <c r="W413" s="11"/>
      <c r="X413" s="11"/>
      <c r="Y413" s="52"/>
      <c r="Z413" s="11"/>
      <c r="AA413" s="11"/>
      <c r="AB413" s="11"/>
      <c r="AC413" s="11"/>
      <c r="AD413" s="11"/>
      <c r="AE413" s="11"/>
      <c r="AF413" s="11"/>
      <c r="AG413" s="10"/>
      <c r="AH413" s="10"/>
      <c r="AI413" s="10"/>
      <c r="AJ413" s="11"/>
      <c r="AK413" s="11"/>
      <c r="AM413" s="11"/>
      <c r="AN413" s="11"/>
      <c r="AO413" s="11"/>
      <c r="AP413" s="11"/>
      <c r="AQ413" s="11"/>
      <c r="AR413" s="11"/>
      <c r="AS413" s="11"/>
    </row>
    <row r="414" spans="1:45" x14ac:dyDescent="0.25">
      <c r="A414" s="11"/>
      <c r="B414" s="51" t="s">
        <v>1082</v>
      </c>
      <c r="C414" s="11"/>
      <c r="D414" s="51"/>
      <c r="E414" s="51"/>
      <c r="F414" s="5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9"/>
      <c r="R414" s="11"/>
      <c r="S414" s="11"/>
      <c r="T414" s="11"/>
      <c r="U414" s="11"/>
      <c r="V414" s="9"/>
      <c r="W414" s="11"/>
      <c r="X414" s="11"/>
      <c r="Y414" s="52"/>
      <c r="Z414" s="11"/>
      <c r="AA414" s="11"/>
      <c r="AB414" s="11"/>
      <c r="AC414" s="11"/>
      <c r="AD414" s="11"/>
      <c r="AE414" s="11"/>
      <c r="AF414" s="11"/>
      <c r="AG414" s="10"/>
      <c r="AH414" s="10"/>
      <c r="AI414" s="10"/>
      <c r="AJ414" s="11"/>
      <c r="AK414" s="11"/>
      <c r="AM414" s="11"/>
      <c r="AN414" s="11"/>
      <c r="AO414" s="11"/>
      <c r="AP414" s="11"/>
      <c r="AQ414" s="11"/>
      <c r="AR414" s="11"/>
      <c r="AS414" s="11"/>
    </row>
    <row r="415" spans="1:45" x14ac:dyDescent="0.25">
      <c r="A415" s="11"/>
      <c r="B415" s="51" t="s">
        <v>1082</v>
      </c>
      <c r="C415" s="11"/>
      <c r="D415" s="51"/>
      <c r="E415" s="51"/>
      <c r="F415" s="5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9"/>
      <c r="R415" s="11"/>
      <c r="S415" s="11"/>
      <c r="T415" s="11"/>
      <c r="U415" s="11"/>
      <c r="V415" s="9"/>
      <c r="W415" s="11"/>
      <c r="X415" s="11"/>
      <c r="Y415" s="52"/>
      <c r="Z415" s="11"/>
      <c r="AA415" s="11"/>
      <c r="AB415" s="11"/>
      <c r="AC415" s="11"/>
      <c r="AD415" s="11"/>
      <c r="AE415" s="11"/>
      <c r="AF415" s="11"/>
      <c r="AG415" s="10"/>
      <c r="AH415" s="10"/>
      <c r="AI415" s="10"/>
      <c r="AJ415" s="11"/>
      <c r="AK415" s="11"/>
      <c r="AM415" s="11"/>
      <c r="AN415" s="11"/>
      <c r="AO415" s="11"/>
      <c r="AP415" s="11"/>
      <c r="AQ415" s="11"/>
      <c r="AR415" s="11"/>
      <c r="AS415" s="11"/>
    </row>
    <row r="416" spans="1:45" x14ac:dyDescent="0.25">
      <c r="A416" s="11"/>
      <c r="B416" s="51" t="s">
        <v>1082</v>
      </c>
      <c r="C416" s="11"/>
      <c r="D416" s="51"/>
      <c r="E416" s="51"/>
      <c r="F416" s="5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9"/>
      <c r="R416" s="11"/>
      <c r="S416" s="11"/>
      <c r="T416" s="11"/>
      <c r="U416" s="11"/>
      <c r="V416" s="9"/>
      <c r="W416" s="11"/>
      <c r="X416" s="11"/>
      <c r="Y416" s="52"/>
      <c r="Z416" s="11"/>
      <c r="AA416" s="11"/>
      <c r="AB416" s="11"/>
      <c r="AC416" s="11"/>
      <c r="AD416" s="11"/>
      <c r="AE416" s="11"/>
      <c r="AF416" s="11"/>
      <c r="AG416" s="10"/>
      <c r="AH416" s="10"/>
      <c r="AI416" s="10"/>
      <c r="AJ416" s="11"/>
      <c r="AK416" s="11"/>
      <c r="AM416" s="11"/>
      <c r="AN416" s="11"/>
      <c r="AO416" s="11"/>
      <c r="AP416" s="11"/>
      <c r="AQ416" s="11"/>
      <c r="AR416" s="11"/>
      <c r="AS416" s="11"/>
    </row>
    <row r="417" spans="1:45" x14ac:dyDescent="0.25">
      <c r="A417" s="11"/>
      <c r="B417" s="51" t="s">
        <v>1082</v>
      </c>
      <c r="C417" s="11"/>
      <c r="D417" s="51"/>
      <c r="E417" s="51"/>
      <c r="F417" s="5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9"/>
      <c r="R417" s="11"/>
      <c r="S417" s="11"/>
      <c r="T417" s="11"/>
      <c r="U417" s="11"/>
      <c r="V417" s="9"/>
      <c r="W417" s="11"/>
      <c r="X417" s="11"/>
      <c r="Y417" s="52"/>
      <c r="Z417" s="11"/>
      <c r="AA417" s="11"/>
      <c r="AB417" s="11"/>
      <c r="AC417" s="11"/>
      <c r="AD417" s="11"/>
      <c r="AE417" s="11"/>
      <c r="AF417" s="11"/>
      <c r="AG417" s="10"/>
      <c r="AH417" s="10"/>
      <c r="AI417" s="10"/>
      <c r="AJ417" s="11"/>
      <c r="AK417" s="11"/>
      <c r="AM417" s="11"/>
      <c r="AN417" s="11"/>
      <c r="AO417" s="11"/>
      <c r="AP417" s="11"/>
      <c r="AQ417" s="11"/>
      <c r="AR417" s="11"/>
      <c r="AS417" s="11"/>
    </row>
    <row r="418" spans="1:45" x14ac:dyDescent="0.25">
      <c r="A418" s="11"/>
      <c r="B418" s="51" t="s">
        <v>1082</v>
      </c>
      <c r="C418" s="11"/>
      <c r="D418" s="51"/>
      <c r="E418" s="51"/>
      <c r="F418" s="5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9"/>
      <c r="R418" s="11"/>
      <c r="S418" s="11"/>
      <c r="T418" s="11"/>
      <c r="U418" s="11"/>
      <c r="V418" s="9"/>
      <c r="W418" s="11"/>
      <c r="X418" s="11"/>
      <c r="Y418" s="52"/>
      <c r="Z418" s="11"/>
      <c r="AA418" s="11"/>
      <c r="AB418" s="11"/>
      <c r="AC418" s="11"/>
      <c r="AD418" s="11"/>
      <c r="AE418" s="11"/>
      <c r="AF418" s="11"/>
      <c r="AG418" s="10"/>
      <c r="AH418" s="10"/>
      <c r="AI418" s="10"/>
      <c r="AJ418" s="11"/>
      <c r="AK418" s="11"/>
      <c r="AM418" s="11"/>
      <c r="AN418" s="11"/>
      <c r="AO418" s="11"/>
      <c r="AP418" s="11"/>
      <c r="AQ418" s="11"/>
      <c r="AR418" s="11"/>
      <c r="AS418" s="11"/>
    </row>
    <row r="419" spans="1:45" x14ac:dyDescent="0.25">
      <c r="A419" s="11"/>
      <c r="B419" s="51" t="s">
        <v>1082</v>
      </c>
      <c r="C419" s="11"/>
      <c r="D419" s="51"/>
      <c r="E419" s="51"/>
      <c r="F419" s="5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9"/>
      <c r="R419" s="11"/>
      <c r="S419" s="11"/>
      <c r="T419" s="11"/>
      <c r="U419" s="11"/>
      <c r="V419" s="9"/>
      <c r="W419" s="11"/>
      <c r="X419" s="11"/>
      <c r="Y419" s="52"/>
      <c r="Z419" s="11"/>
      <c r="AA419" s="11"/>
      <c r="AB419" s="11"/>
      <c r="AC419" s="11"/>
      <c r="AD419" s="11"/>
      <c r="AE419" s="11"/>
      <c r="AF419" s="11"/>
      <c r="AG419" s="10"/>
      <c r="AH419" s="10"/>
      <c r="AI419" s="10"/>
      <c r="AJ419" s="11"/>
      <c r="AK419" s="11"/>
      <c r="AM419" s="11"/>
      <c r="AN419" s="11"/>
      <c r="AO419" s="11"/>
      <c r="AP419" s="11"/>
      <c r="AQ419" s="11"/>
      <c r="AR419" s="11"/>
      <c r="AS419" s="11"/>
    </row>
    <row r="420" spans="1:45" x14ac:dyDescent="0.25">
      <c r="A420" s="11"/>
      <c r="B420" s="51" t="s">
        <v>1082</v>
      </c>
      <c r="C420" s="11"/>
      <c r="D420" s="51"/>
      <c r="E420" s="51"/>
      <c r="F420" s="5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9"/>
      <c r="R420" s="11"/>
      <c r="S420" s="11"/>
      <c r="T420" s="11"/>
      <c r="U420" s="11"/>
      <c r="V420" s="9"/>
      <c r="W420" s="11"/>
      <c r="X420" s="11"/>
      <c r="Y420" s="52"/>
      <c r="Z420" s="11"/>
      <c r="AA420" s="11"/>
      <c r="AB420" s="11"/>
      <c r="AC420" s="11"/>
      <c r="AD420" s="11"/>
      <c r="AE420" s="11"/>
      <c r="AF420" s="11"/>
      <c r="AG420" s="10"/>
      <c r="AH420" s="10"/>
      <c r="AI420" s="10"/>
      <c r="AJ420" s="11"/>
      <c r="AK420" s="11"/>
      <c r="AM420" s="11"/>
      <c r="AN420" s="11"/>
      <c r="AO420" s="11"/>
      <c r="AP420" s="11"/>
      <c r="AQ420" s="11"/>
      <c r="AR420" s="11"/>
      <c r="AS420" s="11"/>
    </row>
    <row r="421" spans="1:45" x14ac:dyDescent="0.25">
      <c r="A421" s="11"/>
      <c r="B421" s="51" t="s">
        <v>1082</v>
      </c>
      <c r="C421" s="11"/>
      <c r="D421" s="51"/>
      <c r="E421" s="51"/>
      <c r="F421" s="5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9"/>
      <c r="R421" s="11"/>
      <c r="S421" s="11"/>
      <c r="T421" s="11"/>
      <c r="U421" s="11"/>
      <c r="V421" s="9"/>
      <c r="W421" s="11"/>
      <c r="X421" s="11"/>
      <c r="Y421" s="52"/>
      <c r="Z421" s="11"/>
      <c r="AA421" s="11"/>
      <c r="AB421" s="11"/>
      <c r="AC421" s="11"/>
      <c r="AD421" s="11"/>
      <c r="AE421" s="11"/>
      <c r="AF421" s="11"/>
      <c r="AG421" s="10"/>
      <c r="AH421" s="10"/>
      <c r="AI421" s="10"/>
      <c r="AJ421" s="11"/>
      <c r="AK421" s="11"/>
      <c r="AM421" s="11"/>
      <c r="AN421" s="11"/>
      <c r="AO421" s="11"/>
      <c r="AP421" s="11"/>
      <c r="AQ421" s="11"/>
      <c r="AR421" s="11"/>
      <c r="AS421" s="11"/>
    </row>
    <row r="422" spans="1:45" x14ac:dyDescent="0.25">
      <c r="A422" s="11"/>
      <c r="B422" s="51" t="s">
        <v>1082</v>
      </c>
      <c r="C422" s="11"/>
      <c r="D422" s="51"/>
      <c r="E422" s="51"/>
      <c r="F422" s="5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9"/>
      <c r="R422" s="11"/>
      <c r="S422" s="11"/>
      <c r="T422" s="11"/>
      <c r="U422" s="11"/>
      <c r="V422" s="9"/>
      <c r="W422" s="11"/>
      <c r="X422" s="11"/>
      <c r="Y422" s="52"/>
      <c r="Z422" s="11"/>
      <c r="AA422" s="11"/>
      <c r="AB422" s="11"/>
      <c r="AC422" s="11"/>
      <c r="AD422" s="11"/>
      <c r="AE422" s="11"/>
      <c r="AF422" s="11"/>
      <c r="AG422" s="10"/>
      <c r="AH422" s="10"/>
      <c r="AI422" s="10"/>
      <c r="AJ422" s="11"/>
      <c r="AK422" s="11"/>
      <c r="AM422" s="11"/>
      <c r="AN422" s="11"/>
      <c r="AO422" s="11"/>
      <c r="AP422" s="11"/>
      <c r="AQ422" s="11"/>
      <c r="AR422" s="11"/>
      <c r="AS422" s="11"/>
    </row>
    <row r="423" spans="1:45" x14ac:dyDescent="0.25">
      <c r="A423" s="11"/>
      <c r="B423" s="51" t="s">
        <v>1082</v>
      </c>
      <c r="C423" s="11"/>
      <c r="D423" s="51"/>
      <c r="E423" s="51"/>
      <c r="F423" s="5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9"/>
      <c r="R423" s="11"/>
      <c r="S423" s="11"/>
      <c r="T423" s="11"/>
      <c r="U423" s="11"/>
      <c r="V423" s="9"/>
      <c r="W423" s="11"/>
      <c r="X423" s="11"/>
      <c r="Y423" s="52"/>
      <c r="Z423" s="11"/>
      <c r="AA423" s="11"/>
      <c r="AB423" s="11"/>
      <c r="AC423" s="11"/>
      <c r="AD423" s="11"/>
      <c r="AE423" s="11"/>
      <c r="AF423" s="11"/>
      <c r="AG423" s="10"/>
      <c r="AH423" s="10"/>
      <c r="AI423" s="10"/>
      <c r="AJ423" s="11"/>
      <c r="AK423" s="11"/>
      <c r="AM423" s="11"/>
      <c r="AN423" s="11"/>
      <c r="AO423" s="11"/>
      <c r="AP423" s="11"/>
      <c r="AQ423" s="11"/>
      <c r="AR423" s="11"/>
      <c r="AS423" s="11"/>
    </row>
    <row r="424" spans="1:45" x14ac:dyDescent="0.25">
      <c r="A424" s="11"/>
      <c r="B424" s="51" t="s">
        <v>1082</v>
      </c>
      <c r="C424" s="11"/>
      <c r="D424" s="51"/>
      <c r="E424" s="51"/>
      <c r="F424" s="5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9"/>
      <c r="R424" s="11"/>
      <c r="S424" s="11"/>
      <c r="T424" s="11"/>
      <c r="U424" s="11"/>
      <c r="V424" s="9"/>
      <c r="W424" s="11"/>
      <c r="X424" s="11"/>
      <c r="Y424" s="52"/>
      <c r="Z424" s="11"/>
      <c r="AA424" s="11"/>
      <c r="AB424" s="11"/>
      <c r="AC424" s="11"/>
      <c r="AD424" s="11"/>
      <c r="AE424" s="11"/>
      <c r="AF424" s="11"/>
      <c r="AG424" s="10"/>
      <c r="AH424" s="10"/>
      <c r="AI424" s="10"/>
      <c r="AJ424" s="11"/>
      <c r="AK424" s="11"/>
      <c r="AM424" s="11"/>
      <c r="AN424" s="11"/>
      <c r="AO424" s="11"/>
      <c r="AP424" s="11"/>
      <c r="AQ424" s="11"/>
      <c r="AR424" s="11"/>
      <c r="AS424" s="11"/>
    </row>
    <row r="425" spans="1:45" x14ac:dyDescent="0.25">
      <c r="A425" s="11"/>
      <c r="B425" s="51" t="s">
        <v>1082</v>
      </c>
      <c r="C425" s="11"/>
      <c r="D425" s="51"/>
      <c r="E425" s="51"/>
      <c r="F425" s="5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9"/>
      <c r="R425" s="11"/>
      <c r="S425" s="11"/>
      <c r="T425" s="11"/>
      <c r="U425" s="11"/>
      <c r="V425" s="9"/>
      <c r="W425" s="11"/>
      <c r="X425" s="11"/>
      <c r="Y425" s="52"/>
      <c r="Z425" s="11"/>
      <c r="AA425" s="11"/>
      <c r="AB425" s="11"/>
      <c r="AC425" s="11"/>
      <c r="AD425" s="11"/>
      <c r="AE425" s="11"/>
      <c r="AF425" s="11"/>
      <c r="AG425" s="10"/>
      <c r="AH425" s="10"/>
      <c r="AI425" s="10"/>
      <c r="AJ425" s="11"/>
      <c r="AK425" s="11"/>
      <c r="AM425" s="11"/>
      <c r="AN425" s="11"/>
      <c r="AO425" s="11"/>
      <c r="AP425" s="11"/>
      <c r="AQ425" s="11"/>
      <c r="AR425" s="11"/>
      <c r="AS425" s="11"/>
    </row>
    <row r="426" spans="1:45" x14ac:dyDescent="0.25">
      <c r="A426" s="11"/>
      <c r="B426" s="51" t="s">
        <v>1082</v>
      </c>
      <c r="C426" s="11"/>
      <c r="D426" s="51"/>
      <c r="E426" s="51"/>
      <c r="F426" s="5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9"/>
      <c r="R426" s="11"/>
      <c r="S426" s="11"/>
      <c r="T426" s="11"/>
      <c r="U426" s="11"/>
      <c r="V426" s="9"/>
      <c r="W426" s="11"/>
      <c r="X426" s="11"/>
      <c r="Y426" s="52"/>
      <c r="Z426" s="11"/>
      <c r="AA426" s="11"/>
      <c r="AB426" s="11"/>
      <c r="AC426" s="11"/>
      <c r="AD426" s="11"/>
      <c r="AE426" s="11"/>
      <c r="AF426" s="11"/>
      <c r="AG426" s="10"/>
      <c r="AH426" s="10"/>
      <c r="AI426" s="10"/>
      <c r="AJ426" s="11"/>
      <c r="AK426" s="11"/>
      <c r="AM426" s="11"/>
      <c r="AN426" s="11"/>
      <c r="AO426" s="11"/>
      <c r="AP426" s="11"/>
      <c r="AQ426" s="11"/>
      <c r="AR426" s="11"/>
      <c r="AS426" s="11"/>
    </row>
    <row r="427" spans="1:45" x14ac:dyDescent="0.25">
      <c r="A427" s="11"/>
      <c r="B427" s="51" t="s">
        <v>1082</v>
      </c>
      <c r="C427" s="11"/>
      <c r="D427" s="51"/>
      <c r="E427" s="51"/>
      <c r="F427" s="5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9"/>
      <c r="R427" s="11"/>
      <c r="S427" s="11"/>
      <c r="T427" s="11"/>
      <c r="U427" s="11"/>
      <c r="V427" s="9"/>
      <c r="W427" s="11"/>
      <c r="X427" s="11"/>
      <c r="Y427" s="52"/>
      <c r="Z427" s="11"/>
      <c r="AA427" s="11"/>
      <c r="AB427" s="11"/>
      <c r="AC427" s="11"/>
      <c r="AD427" s="11"/>
      <c r="AE427" s="11"/>
      <c r="AF427" s="11"/>
      <c r="AG427" s="10"/>
      <c r="AH427" s="10"/>
      <c r="AI427" s="10"/>
      <c r="AJ427" s="11"/>
      <c r="AK427" s="11"/>
      <c r="AM427" s="11"/>
      <c r="AN427" s="11"/>
      <c r="AO427" s="11"/>
      <c r="AP427" s="11"/>
      <c r="AQ427" s="11"/>
      <c r="AR427" s="11"/>
      <c r="AS427" s="11"/>
    </row>
    <row r="428" spans="1:45" x14ac:dyDescent="0.25">
      <c r="A428" s="11"/>
      <c r="B428" s="51" t="s">
        <v>1082</v>
      </c>
      <c r="C428" s="11"/>
      <c r="D428" s="51"/>
      <c r="E428" s="51"/>
      <c r="F428" s="5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9"/>
      <c r="R428" s="11"/>
      <c r="S428" s="11"/>
      <c r="T428" s="11"/>
      <c r="U428" s="11"/>
      <c r="V428" s="9"/>
      <c r="W428" s="11"/>
      <c r="X428" s="11"/>
      <c r="Y428" s="52"/>
      <c r="Z428" s="11"/>
      <c r="AA428" s="11"/>
      <c r="AB428" s="11"/>
      <c r="AC428" s="11"/>
      <c r="AD428" s="11"/>
      <c r="AE428" s="11"/>
      <c r="AF428" s="11"/>
      <c r="AG428" s="10"/>
      <c r="AH428" s="10"/>
      <c r="AI428" s="10"/>
      <c r="AJ428" s="11"/>
      <c r="AK428" s="11"/>
      <c r="AM428" s="11"/>
      <c r="AN428" s="11"/>
      <c r="AO428" s="11"/>
      <c r="AP428" s="11"/>
      <c r="AQ428" s="11"/>
      <c r="AR428" s="11"/>
      <c r="AS428" s="11"/>
    </row>
    <row r="429" spans="1:45" x14ac:dyDescent="0.25">
      <c r="A429" s="11"/>
      <c r="B429" s="51" t="s">
        <v>1082</v>
      </c>
      <c r="C429" s="11"/>
      <c r="D429" s="51"/>
      <c r="E429" s="51"/>
      <c r="F429" s="5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9"/>
      <c r="R429" s="11"/>
      <c r="S429" s="11"/>
      <c r="T429" s="11"/>
      <c r="U429" s="11"/>
      <c r="V429" s="9"/>
      <c r="W429" s="11"/>
      <c r="X429" s="11"/>
      <c r="Y429" s="52"/>
      <c r="Z429" s="11"/>
      <c r="AA429" s="11"/>
      <c r="AB429" s="11"/>
      <c r="AC429" s="11"/>
      <c r="AD429" s="11"/>
      <c r="AE429" s="11"/>
      <c r="AF429" s="11"/>
      <c r="AG429" s="10"/>
      <c r="AH429" s="10"/>
      <c r="AI429" s="10"/>
      <c r="AJ429" s="11"/>
      <c r="AK429" s="11"/>
      <c r="AM429" s="11"/>
      <c r="AN429" s="11"/>
      <c r="AO429" s="11"/>
      <c r="AP429" s="11"/>
      <c r="AQ429" s="11"/>
      <c r="AR429" s="11"/>
      <c r="AS429" s="11"/>
    </row>
    <row r="430" spans="1:45" x14ac:dyDescent="0.25">
      <c r="A430" s="11"/>
      <c r="B430" s="51" t="s">
        <v>1082</v>
      </c>
      <c r="C430" s="11"/>
      <c r="D430" s="51"/>
      <c r="E430" s="51"/>
      <c r="F430" s="5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9"/>
      <c r="R430" s="11"/>
      <c r="S430" s="11"/>
      <c r="T430" s="11"/>
      <c r="U430" s="11"/>
      <c r="V430" s="9"/>
      <c r="W430" s="11"/>
      <c r="X430" s="11"/>
      <c r="Y430" s="52"/>
      <c r="Z430" s="11"/>
      <c r="AA430" s="11"/>
      <c r="AB430" s="11"/>
      <c r="AC430" s="11"/>
      <c r="AD430" s="11"/>
      <c r="AE430" s="11"/>
      <c r="AF430" s="11"/>
      <c r="AG430" s="10"/>
      <c r="AH430" s="10"/>
      <c r="AI430" s="10"/>
      <c r="AJ430" s="11"/>
      <c r="AK430" s="11"/>
      <c r="AM430" s="11"/>
      <c r="AN430" s="11"/>
      <c r="AO430" s="11"/>
      <c r="AP430" s="11"/>
      <c r="AQ430" s="11"/>
      <c r="AR430" s="11"/>
      <c r="AS430" s="11"/>
    </row>
    <row r="431" spans="1:45" x14ac:dyDescent="0.25">
      <c r="A431" s="11"/>
      <c r="B431" s="51" t="s">
        <v>1082</v>
      </c>
      <c r="C431" s="11"/>
      <c r="D431" s="51"/>
      <c r="E431" s="51"/>
      <c r="F431" s="5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9"/>
      <c r="R431" s="11"/>
      <c r="S431" s="11"/>
      <c r="T431" s="11"/>
      <c r="U431" s="11"/>
      <c r="V431" s="9"/>
      <c r="W431" s="11"/>
      <c r="X431" s="11"/>
      <c r="Y431" s="52"/>
      <c r="Z431" s="11"/>
      <c r="AA431" s="11"/>
      <c r="AB431" s="11"/>
      <c r="AC431" s="11"/>
      <c r="AD431" s="11"/>
      <c r="AE431" s="11"/>
      <c r="AF431" s="11"/>
      <c r="AG431" s="10"/>
      <c r="AH431" s="10"/>
      <c r="AI431" s="10"/>
      <c r="AJ431" s="11"/>
      <c r="AK431" s="11"/>
      <c r="AM431" s="11"/>
      <c r="AN431" s="11"/>
      <c r="AO431" s="11"/>
      <c r="AP431" s="11"/>
      <c r="AQ431" s="11"/>
      <c r="AR431" s="11"/>
      <c r="AS431" s="11"/>
    </row>
    <row r="432" spans="1:45" x14ac:dyDescent="0.25">
      <c r="A432" s="11"/>
      <c r="B432" s="51" t="s">
        <v>1082</v>
      </c>
      <c r="C432" s="11"/>
      <c r="D432" s="51"/>
      <c r="E432" s="51"/>
      <c r="F432" s="5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9"/>
      <c r="R432" s="11"/>
      <c r="S432" s="11"/>
      <c r="T432" s="11"/>
      <c r="U432" s="11"/>
      <c r="V432" s="9"/>
      <c r="W432" s="11"/>
      <c r="X432" s="11"/>
      <c r="Y432" s="52"/>
      <c r="Z432" s="11"/>
      <c r="AA432" s="11"/>
      <c r="AB432" s="11"/>
      <c r="AC432" s="11"/>
      <c r="AD432" s="11"/>
      <c r="AE432" s="11"/>
      <c r="AF432" s="11"/>
      <c r="AG432" s="10"/>
      <c r="AH432" s="10"/>
      <c r="AI432" s="10"/>
      <c r="AJ432" s="11"/>
      <c r="AK432" s="11"/>
      <c r="AM432" s="11"/>
      <c r="AN432" s="11"/>
      <c r="AO432" s="11"/>
      <c r="AP432" s="11"/>
      <c r="AQ432" s="11"/>
      <c r="AR432" s="11"/>
      <c r="AS432" s="11"/>
    </row>
    <row r="433" spans="1:45" x14ac:dyDescent="0.25">
      <c r="A433" s="11"/>
      <c r="B433" s="51" t="s">
        <v>1082</v>
      </c>
      <c r="C433" s="11"/>
      <c r="D433" s="51"/>
      <c r="E433" s="51"/>
      <c r="F433" s="5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9"/>
      <c r="R433" s="11"/>
      <c r="S433" s="11"/>
      <c r="T433" s="11"/>
      <c r="U433" s="11"/>
      <c r="V433" s="9"/>
      <c r="W433" s="11"/>
      <c r="X433" s="11"/>
      <c r="Y433" s="52"/>
      <c r="Z433" s="11"/>
      <c r="AA433" s="11"/>
      <c r="AB433" s="11"/>
      <c r="AC433" s="11"/>
      <c r="AD433" s="11"/>
      <c r="AE433" s="11"/>
      <c r="AF433" s="11"/>
      <c r="AG433" s="10"/>
      <c r="AH433" s="10"/>
      <c r="AI433" s="10"/>
      <c r="AJ433" s="11"/>
      <c r="AK433" s="11"/>
      <c r="AM433" s="11"/>
      <c r="AN433" s="11"/>
      <c r="AO433" s="11"/>
      <c r="AP433" s="11"/>
      <c r="AQ433" s="11"/>
      <c r="AR433" s="11"/>
      <c r="AS433" s="11"/>
    </row>
    <row r="434" spans="1:45" x14ac:dyDescent="0.25">
      <c r="A434" s="11"/>
      <c r="B434" s="51" t="s">
        <v>1082</v>
      </c>
      <c r="C434" s="11"/>
      <c r="D434" s="51"/>
      <c r="E434" s="51"/>
      <c r="F434" s="5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9"/>
      <c r="R434" s="11"/>
      <c r="S434" s="11"/>
      <c r="T434" s="11"/>
      <c r="U434" s="11"/>
      <c r="V434" s="9"/>
      <c r="W434" s="11"/>
      <c r="X434" s="11"/>
      <c r="Y434" s="52"/>
      <c r="Z434" s="11"/>
      <c r="AA434" s="11"/>
      <c r="AB434" s="11"/>
      <c r="AC434" s="11"/>
      <c r="AD434" s="11"/>
      <c r="AE434" s="11"/>
      <c r="AF434" s="11"/>
      <c r="AG434" s="10"/>
      <c r="AH434" s="10"/>
      <c r="AI434" s="10"/>
      <c r="AJ434" s="11"/>
      <c r="AK434" s="11"/>
      <c r="AM434" s="11"/>
      <c r="AN434" s="11"/>
      <c r="AO434" s="11"/>
      <c r="AP434" s="11"/>
      <c r="AQ434" s="11"/>
      <c r="AR434" s="11"/>
      <c r="AS434" s="11"/>
    </row>
    <row r="435" spans="1:45" x14ac:dyDescent="0.25">
      <c r="A435" s="11"/>
      <c r="B435" s="51" t="s">
        <v>1082</v>
      </c>
      <c r="C435" s="11"/>
      <c r="D435" s="51"/>
      <c r="E435" s="51"/>
      <c r="F435" s="5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9"/>
      <c r="R435" s="11"/>
      <c r="S435" s="11"/>
      <c r="T435" s="11"/>
      <c r="U435" s="11"/>
      <c r="V435" s="9"/>
      <c r="W435" s="11"/>
      <c r="X435" s="11"/>
      <c r="Y435" s="52"/>
      <c r="Z435" s="11"/>
      <c r="AA435" s="11"/>
      <c r="AB435" s="11"/>
      <c r="AC435" s="11"/>
      <c r="AD435" s="11"/>
      <c r="AE435" s="11"/>
      <c r="AF435" s="11"/>
      <c r="AG435" s="10"/>
      <c r="AH435" s="10"/>
      <c r="AI435" s="10"/>
      <c r="AJ435" s="11"/>
      <c r="AK435" s="11"/>
      <c r="AM435" s="11"/>
      <c r="AN435" s="11"/>
      <c r="AO435" s="11"/>
      <c r="AP435" s="11"/>
      <c r="AQ435" s="11"/>
      <c r="AR435" s="11"/>
      <c r="AS435" s="11"/>
    </row>
    <row r="436" spans="1:45" x14ac:dyDescent="0.25">
      <c r="A436" s="11"/>
      <c r="B436" s="51" t="s">
        <v>1082</v>
      </c>
      <c r="C436" s="11"/>
      <c r="D436" s="51"/>
      <c r="E436" s="51"/>
      <c r="F436" s="5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9"/>
      <c r="R436" s="11"/>
      <c r="S436" s="11"/>
      <c r="T436" s="11"/>
      <c r="U436" s="11"/>
      <c r="V436" s="9"/>
      <c r="W436" s="11"/>
      <c r="X436" s="11"/>
      <c r="Y436" s="52"/>
      <c r="Z436" s="11"/>
      <c r="AA436" s="11"/>
      <c r="AB436" s="11"/>
      <c r="AC436" s="11"/>
      <c r="AD436" s="11"/>
      <c r="AE436" s="11"/>
      <c r="AF436" s="11"/>
      <c r="AG436" s="10"/>
      <c r="AH436" s="10"/>
      <c r="AI436" s="10"/>
      <c r="AJ436" s="11"/>
      <c r="AK436" s="11"/>
      <c r="AM436" s="11"/>
      <c r="AN436" s="11"/>
      <c r="AO436" s="11"/>
      <c r="AP436" s="11"/>
      <c r="AQ436" s="11"/>
      <c r="AR436" s="11"/>
      <c r="AS436" s="11"/>
    </row>
    <row r="437" spans="1:45" x14ac:dyDescent="0.25">
      <c r="A437" s="11"/>
      <c r="B437" s="51" t="s">
        <v>1082</v>
      </c>
      <c r="C437" s="11"/>
      <c r="D437" s="51"/>
      <c r="E437" s="51"/>
      <c r="F437" s="5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9"/>
      <c r="R437" s="11"/>
      <c r="S437" s="11"/>
      <c r="T437" s="11"/>
      <c r="U437" s="11"/>
      <c r="V437" s="9"/>
      <c r="W437" s="11"/>
      <c r="X437" s="11"/>
      <c r="Y437" s="52"/>
      <c r="Z437" s="11"/>
      <c r="AA437" s="11"/>
      <c r="AB437" s="11"/>
      <c r="AC437" s="11"/>
      <c r="AD437" s="11"/>
      <c r="AE437" s="11"/>
      <c r="AF437" s="11"/>
      <c r="AG437" s="10"/>
      <c r="AH437" s="10"/>
      <c r="AI437" s="10"/>
      <c r="AJ437" s="11"/>
      <c r="AK437" s="11"/>
      <c r="AM437" s="11"/>
      <c r="AN437" s="11"/>
      <c r="AO437" s="11"/>
      <c r="AP437" s="11"/>
      <c r="AQ437" s="11"/>
      <c r="AR437" s="11"/>
      <c r="AS437" s="11"/>
    </row>
    <row r="438" spans="1:45" x14ac:dyDescent="0.25">
      <c r="A438" s="11"/>
      <c r="B438" s="51" t="s">
        <v>1082</v>
      </c>
      <c r="C438" s="11"/>
      <c r="D438" s="51"/>
      <c r="E438" s="51"/>
      <c r="F438" s="5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9"/>
      <c r="R438" s="11"/>
      <c r="S438" s="11"/>
      <c r="T438" s="11"/>
      <c r="U438" s="11"/>
      <c r="V438" s="9"/>
      <c r="W438" s="11"/>
      <c r="X438" s="11"/>
      <c r="Y438" s="52"/>
      <c r="Z438" s="11"/>
      <c r="AA438" s="11"/>
      <c r="AB438" s="11"/>
      <c r="AC438" s="11"/>
      <c r="AD438" s="11"/>
      <c r="AE438" s="11"/>
      <c r="AF438" s="11"/>
      <c r="AG438" s="10"/>
      <c r="AH438" s="10"/>
      <c r="AI438" s="10"/>
      <c r="AJ438" s="11"/>
      <c r="AK438" s="11"/>
      <c r="AM438" s="11"/>
      <c r="AN438" s="11"/>
      <c r="AO438" s="11"/>
      <c r="AP438" s="11"/>
      <c r="AQ438" s="11"/>
      <c r="AR438" s="11"/>
      <c r="AS438" s="11"/>
    </row>
    <row r="439" spans="1:45" x14ac:dyDescent="0.25">
      <c r="A439" s="11"/>
      <c r="B439" s="51" t="s">
        <v>1082</v>
      </c>
      <c r="C439" s="11"/>
      <c r="D439" s="51"/>
      <c r="E439" s="51"/>
      <c r="F439" s="5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9"/>
      <c r="R439" s="11"/>
      <c r="S439" s="11"/>
      <c r="T439" s="11"/>
      <c r="U439" s="11"/>
      <c r="V439" s="9"/>
      <c r="W439" s="11"/>
      <c r="X439" s="11"/>
      <c r="Y439" s="52"/>
      <c r="Z439" s="11"/>
      <c r="AA439" s="11"/>
      <c r="AB439" s="11"/>
      <c r="AC439" s="11"/>
      <c r="AD439" s="11"/>
      <c r="AE439" s="11"/>
      <c r="AF439" s="11"/>
      <c r="AG439" s="10"/>
      <c r="AH439" s="10"/>
      <c r="AI439" s="10"/>
      <c r="AJ439" s="11"/>
      <c r="AK439" s="11"/>
      <c r="AM439" s="11"/>
      <c r="AN439" s="11"/>
      <c r="AO439" s="11"/>
      <c r="AP439" s="11"/>
      <c r="AQ439" s="11"/>
      <c r="AR439" s="11"/>
      <c r="AS439" s="11"/>
    </row>
    <row r="440" spans="1:45" x14ac:dyDescent="0.25">
      <c r="A440" s="11"/>
      <c r="B440" s="51" t="s">
        <v>1082</v>
      </c>
      <c r="C440" s="11"/>
      <c r="D440" s="51"/>
      <c r="E440" s="51"/>
      <c r="F440" s="5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9"/>
      <c r="R440" s="11"/>
      <c r="S440" s="11"/>
      <c r="T440" s="11"/>
      <c r="U440" s="11"/>
      <c r="V440" s="9"/>
      <c r="W440" s="11"/>
      <c r="X440" s="11"/>
      <c r="Y440" s="52"/>
      <c r="Z440" s="11"/>
      <c r="AA440" s="11"/>
      <c r="AB440" s="11"/>
      <c r="AC440" s="11"/>
      <c r="AD440" s="11"/>
      <c r="AE440" s="11"/>
      <c r="AF440" s="11"/>
      <c r="AG440" s="10"/>
      <c r="AH440" s="10"/>
      <c r="AI440" s="10"/>
      <c r="AJ440" s="11"/>
      <c r="AK440" s="11"/>
      <c r="AM440" s="11"/>
      <c r="AN440" s="11"/>
      <c r="AO440" s="11"/>
      <c r="AP440" s="11"/>
      <c r="AQ440" s="11"/>
      <c r="AR440" s="11"/>
      <c r="AS440" s="11"/>
    </row>
    <row r="441" spans="1:45" x14ac:dyDescent="0.25">
      <c r="A441" s="11"/>
      <c r="B441" s="51" t="s">
        <v>1082</v>
      </c>
      <c r="C441" s="11"/>
      <c r="D441" s="51"/>
      <c r="E441" s="51"/>
      <c r="F441" s="5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9"/>
      <c r="R441" s="11"/>
      <c r="S441" s="11"/>
      <c r="T441" s="11"/>
      <c r="U441" s="11"/>
      <c r="V441" s="9"/>
      <c r="W441" s="11"/>
      <c r="X441" s="11"/>
      <c r="Y441" s="52"/>
      <c r="Z441" s="11"/>
      <c r="AA441" s="11"/>
      <c r="AB441" s="11"/>
      <c r="AC441" s="11"/>
      <c r="AD441" s="11"/>
      <c r="AE441" s="11"/>
      <c r="AF441" s="11"/>
      <c r="AG441" s="10"/>
      <c r="AH441" s="10"/>
      <c r="AI441" s="10"/>
      <c r="AJ441" s="11"/>
      <c r="AK441" s="11"/>
      <c r="AM441" s="11"/>
      <c r="AN441" s="11"/>
      <c r="AO441" s="11"/>
      <c r="AP441" s="11"/>
      <c r="AQ441" s="11"/>
      <c r="AR441" s="11"/>
      <c r="AS441" s="11"/>
    </row>
    <row r="442" spans="1:45" x14ac:dyDescent="0.25">
      <c r="A442" s="11"/>
      <c r="B442" s="51" t="s">
        <v>1082</v>
      </c>
      <c r="C442" s="11"/>
      <c r="D442" s="51"/>
      <c r="E442" s="51"/>
      <c r="F442" s="5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9"/>
      <c r="R442" s="11"/>
      <c r="S442" s="11"/>
      <c r="T442" s="11"/>
      <c r="U442" s="11"/>
      <c r="V442" s="9"/>
      <c r="W442" s="11"/>
      <c r="X442" s="11"/>
      <c r="Y442" s="52"/>
      <c r="Z442" s="11"/>
      <c r="AA442" s="11"/>
      <c r="AB442" s="11"/>
      <c r="AC442" s="11"/>
      <c r="AD442" s="11"/>
      <c r="AE442" s="11"/>
      <c r="AF442" s="11"/>
      <c r="AG442" s="10"/>
      <c r="AH442" s="10"/>
      <c r="AI442" s="10"/>
      <c r="AJ442" s="11"/>
      <c r="AK442" s="11"/>
      <c r="AM442" s="11"/>
      <c r="AN442" s="11"/>
      <c r="AO442" s="11"/>
      <c r="AP442" s="11"/>
      <c r="AQ442" s="11"/>
      <c r="AR442" s="11"/>
      <c r="AS442" s="11"/>
    </row>
    <row r="443" spans="1:45" x14ac:dyDescent="0.25">
      <c r="A443" s="11"/>
      <c r="B443" s="51" t="s">
        <v>1082</v>
      </c>
      <c r="C443" s="11"/>
      <c r="D443" s="51"/>
      <c r="E443" s="51"/>
      <c r="F443" s="5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9"/>
      <c r="R443" s="11"/>
      <c r="S443" s="11"/>
      <c r="T443" s="11"/>
      <c r="U443" s="11"/>
      <c r="V443" s="9"/>
      <c r="W443" s="11"/>
      <c r="X443" s="11"/>
      <c r="Y443" s="52"/>
      <c r="Z443" s="11"/>
      <c r="AA443" s="11"/>
      <c r="AB443" s="11"/>
      <c r="AC443" s="11"/>
      <c r="AD443" s="11"/>
      <c r="AE443" s="11"/>
      <c r="AF443" s="11"/>
      <c r="AG443" s="10"/>
      <c r="AH443" s="10"/>
      <c r="AI443" s="10"/>
      <c r="AJ443" s="11"/>
      <c r="AK443" s="11"/>
      <c r="AM443" s="11"/>
      <c r="AN443" s="11"/>
      <c r="AO443" s="11"/>
      <c r="AP443" s="11"/>
      <c r="AQ443" s="11"/>
      <c r="AR443" s="11"/>
      <c r="AS443" s="11"/>
    </row>
    <row r="444" spans="1:45" x14ac:dyDescent="0.25">
      <c r="A444" s="11"/>
      <c r="B444" s="51" t="s">
        <v>1082</v>
      </c>
      <c r="C444" s="11"/>
      <c r="D444" s="51"/>
      <c r="E444" s="51"/>
      <c r="F444" s="5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9"/>
      <c r="R444" s="11"/>
      <c r="S444" s="11"/>
      <c r="T444" s="11"/>
      <c r="U444" s="11"/>
      <c r="V444" s="9"/>
      <c r="W444" s="11"/>
      <c r="X444" s="11"/>
      <c r="Y444" s="52"/>
      <c r="Z444" s="11"/>
      <c r="AA444" s="11"/>
      <c r="AB444" s="11"/>
      <c r="AC444" s="11"/>
      <c r="AD444" s="11"/>
      <c r="AE444" s="11"/>
      <c r="AF444" s="11"/>
      <c r="AG444" s="10"/>
      <c r="AH444" s="10"/>
      <c r="AI444" s="10"/>
      <c r="AJ444" s="11"/>
      <c r="AK444" s="11"/>
      <c r="AM444" s="11"/>
      <c r="AN444" s="11"/>
      <c r="AO444" s="11"/>
      <c r="AP444" s="11"/>
      <c r="AQ444" s="11"/>
      <c r="AR444" s="11"/>
      <c r="AS444" s="11"/>
    </row>
    <row r="445" spans="1:45" x14ac:dyDescent="0.25">
      <c r="A445" s="11"/>
      <c r="B445" s="51" t="s">
        <v>1082</v>
      </c>
      <c r="C445" s="11"/>
      <c r="D445" s="51"/>
      <c r="E445" s="51"/>
      <c r="F445" s="5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9"/>
      <c r="R445" s="11"/>
      <c r="S445" s="11"/>
      <c r="T445" s="11"/>
      <c r="U445" s="11"/>
      <c r="V445" s="9"/>
      <c r="W445" s="11"/>
      <c r="X445" s="11"/>
      <c r="Y445" s="52"/>
      <c r="Z445" s="11"/>
      <c r="AA445" s="11"/>
      <c r="AB445" s="11"/>
      <c r="AC445" s="11"/>
      <c r="AD445" s="11"/>
      <c r="AE445" s="11"/>
      <c r="AF445" s="11"/>
      <c r="AG445" s="10"/>
      <c r="AH445" s="10"/>
      <c r="AI445" s="10"/>
      <c r="AJ445" s="11"/>
      <c r="AK445" s="11"/>
      <c r="AM445" s="11"/>
      <c r="AN445" s="11"/>
      <c r="AO445" s="11"/>
      <c r="AP445" s="11"/>
      <c r="AQ445" s="11"/>
      <c r="AR445" s="11"/>
      <c r="AS445" s="11"/>
    </row>
    <row r="446" spans="1:45" x14ac:dyDescent="0.25">
      <c r="A446" s="11"/>
      <c r="B446" s="51" t="s">
        <v>1082</v>
      </c>
      <c r="C446" s="11"/>
      <c r="D446" s="51"/>
      <c r="E446" s="51"/>
      <c r="F446" s="5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9"/>
      <c r="R446" s="11"/>
      <c r="S446" s="11"/>
      <c r="T446" s="11"/>
      <c r="U446" s="11"/>
      <c r="V446" s="9"/>
      <c r="W446" s="11"/>
      <c r="X446" s="11"/>
      <c r="Y446" s="52"/>
      <c r="Z446" s="11"/>
      <c r="AA446" s="11"/>
      <c r="AB446" s="11"/>
      <c r="AC446" s="11"/>
      <c r="AD446" s="11"/>
      <c r="AE446" s="11"/>
      <c r="AF446" s="11"/>
      <c r="AG446" s="10"/>
      <c r="AH446" s="10"/>
      <c r="AI446" s="10"/>
      <c r="AJ446" s="11"/>
      <c r="AK446" s="11"/>
      <c r="AM446" s="11"/>
      <c r="AN446" s="11"/>
      <c r="AO446" s="11"/>
      <c r="AP446" s="11"/>
      <c r="AQ446" s="11"/>
      <c r="AR446" s="11"/>
      <c r="AS446" s="11"/>
    </row>
    <row r="447" spans="1:45" x14ac:dyDescent="0.25">
      <c r="A447" s="11"/>
      <c r="B447" s="51" t="s">
        <v>1082</v>
      </c>
      <c r="C447" s="11"/>
      <c r="D447" s="51"/>
      <c r="E447" s="51"/>
      <c r="F447" s="5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9"/>
      <c r="R447" s="11"/>
      <c r="S447" s="11"/>
      <c r="T447" s="11"/>
      <c r="U447" s="11"/>
      <c r="V447" s="9"/>
      <c r="W447" s="11"/>
      <c r="X447" s="11"/>
      <c r="Y447" s="52"/>
      <c r="Z447" s="11"/>
      <c r="AA447" s="11"/>
      <c r="AB447" s="11"/>
      <c r="AC447" s="11"/>
      <c r="AD447" s="11"/>
      <c r="AE447" s="11"/>
      <c r="AF447" s="11"/>
      <c r="AG447" s="10"/>
      <c r="AH447" s="10"/>
      <c r="AI447" s="10"/>
      <c r="AJ447" s="11"/>
      <c r="AK447" s="11"/>
      <c r="AM447" s="11"/>
      <c r="AN447" s="11"/>
      <c r="AO447" s="11"/>
      <c r="AP447" s="11"/>
      <c r="AQ447" s="11"/>
      <c r="AR447" s="11"/>
      <c r="AS447" s="11"/>
    </row>
    <row r="448" spans="1:45" x14ac:dyDescent="0.25">
      <c r="A448" s="11"/>
      <c r="B448" s="51" t="s">
        <v>1082</v>
      </c>
      <c r="C448" s="11"/>
      <c r="D448" s="51"/>
      <c r="E448" s="51"/>
      <c r="F448" s="5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9"/>
      <c r="R448" s="11"/>
      <c r="S448" s="11"/>
      <c r="T448" s="11"/>
      <c r="U448" s="11"/>
      <c r="V448" s="9"/>
      <c r="W448" s="11"/>
      <c r="X448" s="11"/>
      <c r="Y448" s="52"/>
      <c r="Z448" s="11"/>
      <c r="AA448" s="11"/>
      <c r="AB448" s="11"/>
      <c r="AC448" s="11"/>
      <c r="AD448" s="11"/>
      <c r="AE448" s="11"/>
      <c r="AF448" s="11"/>
      <c r="AG448" s="10"/>
      <c r="AH448" s="10"/>
      <c r="AI448" s="10"/>
      <c r="AJ448" s="11"/>
      <c r="AK448" s="11"/>
      <c r="AM448" s="11"/>
      <c r="AN448" s="11"/>
      <c r="AO448" s="11"/>
      <c r="AP448" s="11"/>
      <c r="AQ448" s="11"/>
      <c r="AR448" s="11"/>
      <c r="AS448" s="11"/>
    </row>
    <row r="449" spans="1:45" x14ac:dyDescent="0.25">
      <c r="A449" s="11"/>
      <c r="B449" s="51" t="s">
        <v>1082</v>
      </c>
      <c r="C449" s="11"/>
      <c r="D449" s="51"/>
      <c r="E449" s="51"/>
      <c r="F449" s="5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9"/>
      <c r="R449" s="11"/>
      <c r="S449" s="11"/>
      <c r="T449" s="11"/>
      <c r="U449" s="11"/>
      <c r="V449" s="9"/>
      <c r="W449" s="11"/>
      <c r="X449" s="11"/>
      <c r="Y449" s="52"/>
      <c r="Z449" s="11"/>
      <c r="AA449" s="11"/>
      <c r="AB449" s="11"/>
      <c r="AC449" s="11"/>
      <c r="AD449" s="11"/>
      <c r="AE449" s="11"/>
      <c r="AF449" s="11"/>
      <c r="AG449" s="10"/>
      <c r="AH449" s="10"/>
      <c r="AI449" s="10"/>
      <c r="AJ449" s="11"/>
      <c r="AK449" s="11"/>
      <c r="AM449" s="11"/>
      <c r="AN449" s="11"/>
      <c r="AO449" s="11"/>
      <c r="AP449" s="11"/>
      <c r="AQ449" s="11"/>
      <c r="AR449" s="11"/>
      <c r="AS449" s="11"/>
    </row>
    <row r="450" spans="1:45" x14ac:dyDescent="0.25">
      <c r="A450" s="11"/>
      <c r="B450" s="51" t="s">
        <v>1082</v>
      </c>
      <c r="C450" s="11"/>
      <c r="D450" s="51"/>
      <c r="E450" s="51"/>
      <c r="F450" s="5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9"/>
      <c r="R450" s="11"/>
      <c r="S450" s="11"/>
      <c r="T450" s="11"/>
      <c r="U450" s="11"/>
      <c r="V450" s="9"/>
      <c r="W450" s="11"/>
      <c r="X450" s="11"/>
      <c r="Y450" s="52"/>
      <c r="Z450" s="11"/>
      <c r="AA450" s="11"/>
      <c r="AB450" s="11"/>
      <c r="AC450" s="11"/>
      <c r="AD450" s="11"/>
      <c r="AE450" s="11"/>
      <c r="AF450" s="11"/>
      <c r="AG450" s="10"/>
      <c r="AH450" s="10"/>
      <c r="AI450" s="10"/>
      <c r="AJ450" s="11"/>
      <c r="AK450" s="11"/>
      <c r="AM450" s="11"/>
      <c r="AN450" s="11"/>
      <c r="AO450" s="11"/>
      <c r="AP450" s="11"/>
      <c r="AQ450" s="11"/>
      <c r="AR450" s="11"/>
      <c r="AS450" s="11"/>
    </row>
    <row r="451" spans="1:45" x14ac:dyDescent="0.25">
      <c r="A451" s="11"/>
      <c r="B451" s="51" t="s">
        <v>1082</v>
      </c>
      <c r="C451" s="11"/>
      <c r="D451" s="51"/>
      <c r="E451" s="51"/>
      <c r="F451" s="5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9"/>
      <c r="R451" s="11"/>
      <c r="S451" s="11"/>
      <c r="T451" s="11"/>
      <c r="U451" s="11"/>
      <c r="V451" s="9"/>
      <c r="W451" s="11"/>
      <c r="X451" s="11"/>
      <c r="Y451" s="52"/>
      <c r="Z451" s="11"/>
      <c r="AA451" s="11"/>
      <c r="AB451" s="11"/>
      <c r="AC451" s="11"/>
      <c r="AD451" s="11"/>
      <c r="AE451" s="11"/>
      <c r="AF451" s="11"/>
      <c r="AG451" s="10"/>
      <c r="AH451" s="10"/>
      <c r="AI451" s="10"/>
      <c r="AJ451" s="11"/>
      <c r="AK451" s="11"/>
      <c r="AM451" s="11"/>
      <c r="AN451" s="11"/>
      <c r="AO451" s="11"/>
      <c r="AP451" s="11"/>
      <c r="AQ451" s="11"/>
      <c r="AR451" s="11"/>
      <c r="AS451" s="11"/>
    </row>
    <row r="452" spans="1:45" x14ac:dyDescent="0.25">
      <c r="A452" s="11"/>
      <c r="B452" s="51" t="s">
        <v>1082</v>
      </c>
      <c r="C452" s="11"/>
      <c r="D452" s="51"/>
      <c r="E452" s="51"/>
      <c r="F452" s="5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9"/>
      <c r="R452" s="11"/>
      <c r="S452" s="11"/>
      <c r="T452" s="11"/>
      <c r="U452" s="11"/>
      <c r="V452" s="9"/>
      <c r="W452" s="11"/>
      <c r="X452" s="11"/>
      <c r="Y452" s="52"/>
      <c r="Z452" s="11"/>
      <c r="AA452" s="11"/>
      <c r="AB452" s="11"/>
      <c r="AC452" s="11"/>
      <c r="AD452" s="11"/>
      <c r="AE452" s="11"/>
      <c r="AF452" s="11"/>
      <c r="AG452" s="10"/>
      <c r="AH452" s="10"/>
      <c r="AI452" s="10"/>
      <c r="AJ452" s="11"/>
      <c r="AK452" s="11"/>
      <c r="AM452" s="11"/>
      <c r="AN452" s="11"/>
      <c r="AO452" s="11"/>
      <c r="AP452" s="11"/>
      <c r="AQ452" s="11"/>
      <c r="AR452" s="11"/>
      <c r="AS452" s="11"/>
    </row>
    <row r="453" spans="1:45" x14ac:dyDescent="0.25">
      <c r="A453" s="11"/>
      <c r="B453" s="51" t="s">
        <v>1082</v>
      </c>
      <c r="C453" s="11"/>
      <c r="D453" s="51"/>
      <c r="E453" s="51"/>
      <c r="F453" s="5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9"/>
      <c r="R453" s="11"/>
      <c r="S453" s="11"/>
      <c r="T453" s="11"/>
      <c r="U453" s="11"/>
      <c r="V453" s="9"/>
      <c r="W453" s="11"/>
      <c r="X453" s="11"/>
      <c r="Y453" s="52"/>
      <c r="Z453" s="11"/>
      <c r="AA453" s="11"/>
      <c r="AB453" s="11"/>
      <c r="AC453" s="11"/>
      <c r="AD453" s="11"/>
      <c r="AE453" s="11"/>
      <c r="AF453" s="11"/>
      <c r="AG453" s="10"/>
      <c r="AH453" s="10"/>
      <c r="AI453" s="10"/>
      <c r="AJ453" s="11"/>
      <c r="AK453" s="11"/>
      <c r="AM453" s="11"/>
      <c r="AN453" s="11"/>
      <c r="AO453" s="11"/>
      <c r="AP453" s="11"/>
      <c r="AQ453" s="11"/>
      <c r="AR453" s="11"/>
      <c r="AS453" s="11"/>
    </row>
    <row r="454" spans="1:45" x14ac:dyDescent="0.25">
      <c r="A454" s="11"/>
      <c r="B454" s="51" t="s">
        <v>1082</v>
      </c>
      <c r="C454" s="11"/>
      <c r="D454" s="51"/>
      <c r="E454" s="51"/>
      <c r="F454" s="5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9"/>
      <c r="R454" s="11"/>
      <c r="S454" s="11"/>
      <c r="T454" s="11"/>
      <c r="U454" s="11"/>
      <c r="V454" s="9"/>
      <c r="W454" s="11"/>
      <c r="X454" s="11"/>
      <c r="Y454" s="52"/>
      <c r="Z454" s="11"/>
      <c r="AA454" s="11"/>
      <c r="AB454" s="11"/>
      <c r="AC454" s="11"/>
      <c r="AD454" s="11"/>
      <c r="AE454" s="11"/>
      <c r="AF454" s="11"/>
      <c r="AG454" s="10"/>
      <c r="AH454" s="10"/>
      <c r="AI454" s="10"/>
      <c r="AJ454" s="11"/>
      <c r="AK454" s="11"/>
      <c r="AM454" s="11"/>
      <c r="AN454" s="11"/>
      <c r="AO454" s="11"/>
      <c r="AP454" s="11"/>
      <c r="AQ454" s="11"/>
      <c r="AR454" s="11"/>
      <c r="AS454" s="11"/>
    </row>
    <row r="455" spans="1:45" x14ac:dyDescent="0.25">
      <c r="A455" s="11"/>
      <c r="B455" s="51" t="s">
        <v>1082</v>
      </c>
      <c r="C455" s="11"/>
      <c r="D455" s="51"/>
      <c r="E455" s="51"/>
      <c r="F455" s="5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9"/>
      <c r="R455" s="11"/>
      <c r="S455" s="11"/>
      <c r="T455" s="11"/>
      <c r="U455" s="11"/>
      <c r="V455" s="9"/>
      <c r="W455" s="11"/>
      <c r="X455" s="11"/>
      <c r="Y455" s="52"/>
      <c r="Z455" s="11"/>
      <c r="AA455" s="11"/>
      <c r="AB455" s="11"/>
      <c r="AC455" s="11"/>
      <c r="AD455" s="11"/>
      <c r="AE455" s="11"/>
      <c r="AF455" s="11"/>
      <c r="AG455" s="10"/>
      <c r="AH455" s="10"/>
      <c r="AI455" s="10"/>
      <c r="AJ455" s="11"/>
      <c r="AK455" s="11"/>
      <c r="AM455" s="11"/>
      <c r="AN455" s="11"/>
      <c r="AO455" s="11"/>
      <c r="AP455" s="11"/>
      <c r="AQ455" s="11"/>
      <c r="AR455" s="11"/>
      <c r="AS455" s="11"/>
    </row>
    <row r="456" spans="1:45" x14ac:dyDescent="0.25">
      <c r="A456" s="11"/>
      <c r="B456" s="51" t="s">
        <v>1082</v>
      </c>
      <c r="C456" s="11"/>
      <c r="D456" s="51"/>
      <c r="E456" s="51"/>
      <c r="F456" s="5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9"/>
      <c r="R456" s="11"/>
      <c r="S456" s="11"/>
      <c r="T456" s="11"/>
      <c r="U456" s="11"/>
      <c r="V456" s="9"/>
      <c r="W456" s="11"/>
      <c r="X456" s="11"/>
      <c r="Y456" s="52"/>
      <c r="Z456" s="11"/>
      <c r="AA456" s="11"/>
      <c r="AB456" s="11"/>
      <c r="AC456" s="11"/>
      <c r="AD456" s="11"/>
      <c r="AE456" s="11"/>
      <c r="AF456" s="11"/>
      <c r="AG456" s="10"/>
      <c r="AH456" s="10"/>
      <c r="AI456" s="10"/>
      <c r="AJ456" s="11"/>
      <c r="AK456" s="11"/>
      <c r="AM456" s="11"/>
      <c r="AN456" s="11"/>
      <c r="AO456" s="11"/>
      <c r="AP456" s="11"/>
      <c r="AQ456" s="11"/>
      <c r="AR456" s="11"/>
      <c r="AS456" s="11"/>
    </row>
    <row r="457" spans="1:45" x14ac:dyDescent="0.25">
      <c r="A457" s="11"/>
      <c r="B457" s="51" t="s">
        <v>1082</v>
      </c>
      <c r="C457" s="11"/>
      <c r="D457" s="51"/>
      <c r="E457" s="51"/>
      <c r="F457" s="5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9"/>
      <c r="R457" s="11"/>
      <c r="S457" s="11"/>
      <c r="T457" s="11"/>
      <c r="U457" s="11"/>
      <c r="V457" s="9"/>
      <c r="W457" s="11"/>
      <c r="X457" s="11"/>
      <c r="Y457" s="52"/>
      <c r="Z457" s="11"/>
      <c r="AA457" s="11"/>
      <c r="AB457" s="11"/>
      <c r="AC457" s="11"/>
      <c r="AD457" s="11"/>
      <c r="AE457" s="11"/>
      <c r="AF457" s="11"/>
      <c r="AG457" s="10"/>
      <c r="AH457" s="10"/>
      <c r="AI457" s="10"/>
      <c r="AJ457" s="11"/>
      <c r="AK457" s="11"/>
      <c r="AM457" s="11"/>
      <c r="AN457" s="11"/>
      <c r="AO457" s="11"/>
      <c r="AP457" s="11"/>
      <c r="AQ457" s="11"/>
      <c r="AR457" s="11"/>
      <c r="AS457" s="11"/>
    </row>
    <row r="458" spans="1:45" x14ac:dyDescent="0.25">
      <c r="A458" s="11"/>
      <c r="B458" s="51" t="s">
        <v>1082</v>
      </c>
      <c r="C458" s="11"/>
      <c r="D458" s="51"/>
      <c r="E458" s="51"/>
      <c r="F458" s="5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9"/>
      <c r="R458" s="11"/>
      <c r="S458" s="11"/>
      <c r="T458" s="11"/>
      <c r="U458" s="11"/>
      <c r="V458" s="9"/>
      <c r="W458" s="11"/>
      <c r="X458" s="11"/>
      <c r="Y458" s="52"/>
      <c r="Z458" s="11"/>
      <c r="AA458" s="11"/>
      <c r="AB458" s="11"/>
      <c r="AC458" s="11"/>
      <c r="AD458" s="11"/>
      <c r="AE458" s="11"/>
      <c r="AF458" s="11"/>
      <c r="AG458" s="10"/>
      <c r="AH458" s="10"/>
      <c r="AI458" s="10"/>
      <c r="AJ458" s="11"/>
      <c r="AK458" s="11"/>
      <c r="AM458" s="11"/>
      <c r="AN458" s="11"/>
      <c r="AO458" s="11"/>
      <c r="AP458" s="11"/>
      <c r="AQ458" s="11"/>
      <c r="AR458" s="11"/>
      <c r="AS458" s="11"/>
    </row>
    <row r="459" spans="1:45" x14ac:dyDescent="0.25">
      <c r="A459" s="11"/>
      <c r="B459" s="51" t="s">
        <v>1082</v>
      </c>
      <c r="C459" s="11"/>
      <c r="D459" s="51"/>
      <c r="E459" s="51"/>
      <c r="F459" s="5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9"/>
      <c r="R459" s="11"/>
      <c r="S459" s="11"/>
      <c r="T459" s="11"/>
      <c r="U459" s="11"/>
      <c r="V459" s="9"/>
      <c r="W459" s="11"/>
      <c r="X459" s="11"/>
      <c r="Y459" s="52"/>
      <c r="Z459" s="11"/>
      <c r="AA459" s="11"/>
      <c r="AB459" s="11"/>
      <c r="AC459" s="11"/>
      <c r="AD459" s="11"/>
      <c r="AE459" s="11"/>
      <c r="AF459" s="11"/>
      <c r="AG459" s="10"/>
      <c r="AH459" s="10"/>
      <c r="AI459" s="10"/>
      <c r="AJ459" s="11"/>
      <c r="AK459" s="11"/>
      <c r="AM459" s="11"/>
      <c r="AN459" s="11"/>
      <c r="AO459" s="11"/>
      <c r="AP459" s="11"/>
      <c r="AQ459" s="11"/>
      <c r="AR459" s="11"/>
      <c r="AS459" s="11"/>
    </row>
    <row r="460" spans="1:45" x14ac:dyDescent="0.25">
      <c r="A460" s="11"/>
      <c r="B460" s="51" t="s">
        <v>1082</v>
      </c>
      <c r="C460" s="11"/>
      <c r="D460" s="51"/>
      <c r="E460" s="51"/>
      <c r="F460" s="5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9"/>
      <c r="R460" s="11"/>
      <c r="S460" s="11"/>
      <c r="T460" s="11"/>
      <c r="U460" s="11"/>
      <c r="V460" s="9"/>
      <c r="W460" s="11"/>
      <c r="X460" s="11"/>
      <c r="Y460" s="52"/>
      <c r="Z460" s="11"/>
      <c r="AA460" s="11"/>
      <c r="AB460" s="11"/>
      <c r="AC460" s="11"/>
      <c r="AD460" s="11"/>
      <c r="AE460" s="11"/>
      <c r="AF460" s="11"/>
      <c r="AG460" s="10"/>
      <c r="AH460" s="10"/>
      <c r="AI460" s="10"/>
      <c r="AJ460" s="11"/>
      <c r="AK460" s="11"/>
      <c r="AM460" s="11"/>
      <c r="AN460" s="11"/>
      <c r="AO460" s="11"/>
      <c r="AP460" s="11"/>
      <c r="AQ460" s="11"/>
      <c r="AR460" s="11"/>
      <c r="AS460" s="11"/>
    </row>
    <row r="461" spans="1:45" x14ac:dyDescent="0.25">
      <c r="A461" s="11"/>
      <c r="B461" s="51" t="s">
        <v>1082</v>
      </c>
      <c r="C461" s="11"/>
      <c r="D461" s="51"/>
      <c r="E461" s="51"/>
      <c r="F461" s="5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9"/>
      <c r="R461" s="11"/>
      <c r="S461" s="11"/>
      <c r="T461" s="11"/>
      <c r="U461" s="11"/>
      <c r="V461" s="9"/>
      <c r="W461" s="11"/>
      <c r="X461" s="11"/>
      <c r="Y461" s="52"/>
      <c r="Z461" s="11"/>
      <c r="AA461" s="11"/>
      <c r="AB461" s="11"/>
      <c r="AC461" s="11"/>
      <c r="AD461" s="11"/>
      <c r="AE461" s="11"/>
      <c r="AF461" s="11"/>
      <c r="AG461" s="10"/>
      <c r="AH461" s="10"/>
      <c r="AI461" s="10"/>
      <c r="AJ461" s="11"/>
      <c r="AK461" s="11"/>
      <c r="AM461" s="11"/>
      <c r="AN461" s="11"/>
      <c r="AO461" s="11"/>
      <c r="AP461" s="11"/>
      <c r="AQ461" s="11"/>
      <c r="AR461" s="11"/>
      <c r="AS461" s="11"/>
    </row>
    <row r="462" spans="1:45" x14ac:dyDescent="0.25">
      <c r="A462" s="11"/>
      <c r="B462" s="51" t="s">
        <v>1082</v>
      </c>
      <c r="C462" s="11"/>
      <c r="D462" s="51"/>
      <c r="E462" s="51"/>
      <c r="F462" s="5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9"/>
      <c r="R462" s="11"/>
      <c r="S462" s="11"/>
      <c r="T462" s="11"/>
      <c r="U462" s="11"/>
      <c r="V462" s="9"/>
      <c r="W462" s="11"/>
      <c r="X462" s="11"/>
      <c r="Y462" s="52"/>
      <c r="Z462" s="11"/>
      <c r="AA462" s="11"/>
      <c r="AB462" s="11"/>
      <c r="AC462" s="11"/>
      <c r="AD462" s="11"/>
      <c r="AE462" s="11"/>
      <c r="AF462" s="11"/>
      <c r="AG462" s="10"/>
      <c r="AH462" s="10"/>
      <c r="AI462" s="10"/>
      <c r="AJ462" s="11"/>
      <c r="AK462" s="11"/>
      <c r="AM462" s="11"/>
      <c r="AN462" s="11"/>
      <c r="AO462" s="11"/>
      <c r="AP462" s="11"/>
      <c r="AQ462" s="11"/>
      <c r="AR462" s="11"/>
      <c r="AS462" s="11"/>
    </row>
    <row r="463" spans="1:45" x14ac:dyDescent="0.25">
      <c r="A463" s="11"/>
      <c r="B463" s="51" t="s">
        <v>1082</v>
      </c>
      <c r="C463" s="11"/>
      <c r="D463" s="51"/>
      <c r="E463" s="51"/>
      <c r="F463" s="5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9"/>
      <c r="R463" s="11"/>
      <c r="S463" s="11"/>
      <c r="T463" s="11"/>
      <c r="U463" s="11"/>
      <c r="V463" s="9"/>
      <c r="W463" s="11"/>
      <c r="X463" s="11"/>
      <c r="Y463" s="52"/>
      <c r="Z463" s="11"/>
      <c r="AA463" s="11"/>
      <c r="AB463" s="11"/>
      <c r="AC463" s="11"/>
      <c r="AD463" s="11"/>
      <c r="AE463" s="11"/>
      <c r="AF463" s="11"/>
      <c r="AG463" s="10"/>
      <c r="AH463" s="10"/>
      <c r="AI463" s="10"/>
      <c r="AJ463" s="11"/>
      <c r="AK463" s="11"/>
      <c r="AM463" s="11"/>
      <c r="AN463" s="11"/>
      <c r="AO463" s="11"/>
      <c r="AP463" s="11"/>
      <c r="AQ463" s="11"/>
      <c r="AR463" s="11"/>
      <c r="AS463" s="11"/>
    </row>
    <row r="464" spans="1:45" x14ac:dyDescent="0.25">
      <c r="A464" s="11"/>
      <c r="B464" s="51" t="s">
        <v>1082</v>
      </c>
      <c r="C464" s="11"/>
      <c r="D464" s="51"/>
      <c r="E464" s="51"/>
      <c r="F464" s="5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9"/>
      <c r="R464" s="11"/>
      <c r="S464" s="11"/>
      <c r="T464" s="11"/>
      <c r="U464" s="11"/>
      <c r="V464" s="9"/>
      <c r="W464" s="11"/>
      <c r="X464" s="11"/>
      <c r="Y464" s="52"/>
      <c r="Z464" s="11"/>
      <c r="AA464" s="11"/>
      <c r="AB464" s="11"/>
      <c r="AC464" s="11"/>
      <c r="AD464" s="11"/>
      <c r="AE464" s="11"/>
      <c r="AF464" s="11"/>
      <c r="AG464" s="10"/>
      <c r="AH464" s="10"/>
      <c r="AI464" s="10"/>
      <c r="AJ464" s="11"/>
      <c r="AK464" s="11"/>
      <c r="AM464" s="11"/>
      <c r="AN464" s="11"/>
      <c r="AO464" s="11"/>
      <c r="AP464" s="11"/>
      <c r="AQ464" s="11"/>
      <c r="AR464" s="11"/>
      <c r="AS464" s="11"/>
    </row>
    <row r="465" spans="1:45" x14ac:dyDescent="0.25">
      <c r="A465" s="11"/>
      <c r="B465" s="51" t="s">
        <v>1082</v>
      </c>
      <c r="C465" s="11"/>
      <c r="D465" s="51"/>
      <c r="E465" s="51"/>
      <c r="F465" s="5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9"/>
      <c r="R465" s="11"/>
      <c r="S465" s="11"/>
      <c r="T465" s="11"/>
      <c r="U465" s="11"/>
      <c r="V465" s="9"/>
      <c r="W465" s="11"/>
      <c r="X465" s="11"/>
      <c r="Y465" s="52"/>
      <c r="Z465" s="11"/>
      <c r="AA465" s="11"/>
      <c r="AB465" s="11"/>
      <c r="AC465" s="11"/>
      <c r="AD465" s="11"/>
      <c r="AE465" s="11"/>
      <c r="AF465" s="11"/>
      <c r="AG465" s="10"/>
      <c r="AH465" s="10"/>
      <c r="AI465" s="10"/>
      <c r="AJ465" s="11"/>
      <c r="AK465" s="11"/>
      <c r="AM465" s="11"/>
      <c r="AN465" s="11"/>
      <c r="AO465" s="11"/>
      <c r="AP465" s="11"/>
      <c r="AQ465" s="11"/>
      <c r="AR465" s="11"/>
      <c r="AS465" s="11"/>
    </row>
    <row r="466" spans="1:45" x14ac:dyDescent="0.25">
      <c r="A466" s="11"/>
      <c r="B466" s="51" t="s">
        <v>1082</v>
      </c>
      <c r="C466" s="11"/>
      <c r="D466" s="51"/>
      <c r="E466" s="51"/>
      <c r="F466" s="5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9"/>
      <c r="R466" s="11"/>
      <c r="S466" s="11"/>
      <c r="T466" s="11"/>
      <c r="U466" s="11"/>
      <c r="V466" s="9"/>
      <c r="W466" s="11"/>
      <c r="X466" s="11"/>
      <c r="Y466" s="52"/>
      <c r="Z466" s="11"/>
      <c r="AA466" s="11"/>
      <c r="AB466" s="11"/>
      <c r="AC466" s="11"/>
      <c r="AD466" s="11"/>
      <c r="AE466" s="11"/>
      <c r="AF466" s="11"/>
      <c r="AG466" s="10"/>
      <c r="AH466" s="10"/>
      <c r="AI466" s="10"/>
      <c r="AJ466" s="11"/>
      <c r="AK466" s="11"/>
      <c r="AM466" s="11"/>
      <c r="AN466" s="11"/>
      <c r="AO466" s="11"/>
      <c r="AP466" s="11"/>
      <c r="AQ466" s="11"/>
      <c r="AR466" s="11"/>
      <c r="AS466" s="11"/>
    </row>
    <row r="467" spans="1:45" x14ac:dyDescent="0.25">
      <c r="A467" s="11"/>
      <c r="B467" s="51" t="s">
        <v>1082</v>
      </c>
      <c r="C467" s="11"/>
      <c r="D467" s="51"/>
      <c r="E467" s="51"/>
      <c r="F467" s="5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9"/>
      <c r="R467" s="11"/>
      <c r="S467" s="11"/>
      <c r="T467" s="11"/>
      <c r="U467" s="11"/>
      <c r="V467" s="9"/>
      <c r="W467" s="11"/>
      <c r="X467" s="11"/>
      <c r="Y467" s="52"/>
      <c r="Z467" s="11"/>
      <c r="AA467" s="11"/>
      <c r="AB467" s="11"/>
      <c r="AC467" s="11"/>
      <c r="AD467" s="11"/>
      <c r="AE467" s="11"/>
      <c r="AF467" s="11"/>
      <c r="AG467" s="10"/>
      <c r="AH467" s="10"/>
      <c r="AI467" s="10"/>
      <c r="AJ467" s="11"/>
      <c r="AK467" s="11"/>
      <c r="AM467" s="11"/>
      <c r="AN467" s="11"/>
      <c r="AO467" s="11"/>
      <c r="AP467" s="11"/>
      <c r="AQ467" s="11"/>
      <c r="AR467" s="11"/>
      <c r="AS467" s="11"/>
    </row>
    <row r="468" spans="1:45" x14ac:dyDescent="0.25">
      <c r="A468" s="11"/>
      <c r="B468" s="51" t="s">
        <v>1082</v>
      </c>
      <c r="C468" s="11"/>
      <c r="D468" s="51"/>
      <c r="E468" s="51"/>
      <c r="F468" s="5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9"/>
      <c r="R468" s="11"/>
      <c r="S468" s="11"/>
      <c r="T468" s="11"/>
      <c r="U468" s="11"/>
      <c r="V468" s="9"/>
      <c r="W468" s="11"/>
      <c r="X468" s="11"/>
      <c r="Y468" s="52"/>
      <c r="Z468" s="11"/>
      <c r="AA468" s="11"/>
      <c r="AB468" s="11"/>
      <c r="AC468" s="11"/>
      <c r="AD468" s="11"/>
      <c r="AE468" s="11"/>
      <c r="AF468" s="11"/>
      <c r="AG468" s="10"/>
      <c r="AH468" s="10"/>
      <c r="AI468" s="10"/>
      <c r="AJ468" s="11"/>
      <c r="AK468" s="11"/>
      <c r="AM468" s="11"/>
      <c r="AN468" s="11"/>
      <c r="AO468" s="11"/>
      <c r="AP468" s="11"/>
      <c r="AQ468" s="11"/>
      <c r="AR468" s="11"/>
      <c r="AS468" s="11"/>
    </row>
    <row r="469" spans="1:45" x14ac:dyDescent="0.25">
      <c r="A469" s="11"/>
      <c r="B469" s="51" t="s">
        <v>1082</v>
      </c>
      <c r="C469" s="11"/>
      <c r="D469" s="51"/>
      <c r="E469" s="51"/>
      <c r="F469" s="5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9"/>
      <c r="R469" s="11"/>
      <c r="S469" s="11"/>
      <c r="T469" s="11"/>
      <c r="U469" s="11"/>
      <c r="V469" s="9"/>
      <c r="W469" s="11"/>
      <c r="X469" s="11"/>
      <c r="Y469" s="52"/>
      <c r="Z469" s="11"/>
      <c r="AA469" s="11"/>
      <c r="AB469" s="11"/>
      <c r="AC469" s="11"/>
      <c r="AD469" s="11"/>
      <c r="AE469" s="11"/>
      <c r="AF469" s="11"/>
      <c r="AG469" s="10"/>
      <c r="AH469" s="10"/>
      <c r="AI469" s="10"/>
      <c r="AJ469" s="11"/>
      <c r="AK469" s="11"/>
      <c r="AM469" s="11"/>
      <c r="AN469" s="11"/>
      <c r="AO469" s="11"/>
      <c r="AP469" s="11"/>
      <c r="AQ469" s="11"/>
      <c r="AR469" s="11"/>
      <c r="AS469" s="11"/>
    </row>
    <row r="470" spans="1:45" x14ac:dyDescent="0.25">
      <c r="A470" s="11"/>
      <c r="B470" s="51" t="s">
        <v>1082</v>
      </c>
      <c r="C470" s="11"/>
      <c r="D470" s="51"/>
      <c r="E470" s="51"/>
      <c r="F470" s="5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9"/>
      <c r="R470" s="11"/>
      <c r="S470" s="11"/>
      <c r="T470" s="11"/>
      <c r="U470" s="11"/>
      <c r="V470" s="9"/>
      <c r="W470" s="11"/>
      <c r="X470" s="11"/>
      <c r="Y470" s="52"/>
      <c r="Z470" s="11"/>
      <c r="AA470" s="11"/>
      <c r="AB470" s="11"/>
      <c r="AC470" s="11"/>
      <c r="AD470" s="11"/>
      <c r="AE470" s="11"/>
      <c r="AF470" s="11"/>
      <c r="AG470" s="10"/>
      <c r="AH470" s="10"/>
      <c r="AI470" s="10"/>
      <c r="AJ470" s="11"/>
      <c r="AK470" s="11"/>
      <c r="AM470" s="11"/>
      <c r="AN470" s="11"/>
      <c r="AO470" s="11"/>
      <c r="AP470" s="11"/>
      <c r="AQ470" s="11"/>
      <c r="AR470" s="11"/>
      <c r="AS470" s="11"/>
    </row>
    <row r="471" spans="1:45" x14ac:dyDescent="0.25">
      <c r="A471" s="11"/>
      <c r="B471" s="51" t="s">
        <v>1082</v>
      </c>
      <c r="C471" s="11"/>
      <c r="D471" s="51"/>
      <c r="E471" s="51"/>
      <c r="F471" s="5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9"/>
      <c r="R471" s="11"/>
      <c r="S471" s="11"/>
      <c r="T471" s="11"/>
      <c r="U471" s="11"/>
      <c r="V471" s="9"/>
      <c r="W471" s="11"/>
      <c r="X471" s="11"/>
      <c r="Y471" s="52"/>
      <c r="Z471" s="11"/>
      <c r="AA471" s="11"/>
      <c r="AB471" s="11"/>
      <c r="AC471" s="11"/>
      <c r="AD471" s="11"/>
      <c r="AE471" s="11"/>
      <c r="AF471" s="11"/>
      <c r="AG471" s="10"/>
      <c r="AH471" s="10"/>
      <c r="AI471" s="10"/>
      <c r="AJ471" s="11"/>
      <c r="AK471" s="11"/>
      <c r="AM471" s="11"/>
      <c r="AN471" s="11"/>
      <c r="AO471" s="11"/>
      <c r="AP471" s="11"/>
      <c r="AQ471" s="11"/>
      <c r="AR471" s="11"/>
      <c r="AS471" s="11"/>
    </row>
    <row r="472" spans="1:45" x14ac:dyDescent="0.25">
      <c r="A472" s="11"/>
      <c r="B472" s="51" t="s">
        <v>1082</v>
      </c>
      <c r="C472" s="11"/>
      <c r="D472" s="51"/>
      <c r="E472" s="51"/>
      <c r="F472" s="5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9"/>
      <c r="R472" s="11"/>
      <c r="S472" s="11"/>
      <c r="T472" s="11"/>
      <c r="U472" s="11"/>
      <c r="V472" s="9"/>
      <c r="W472" s="11"/>
      <c r="X472" s="11"/>
      <c r="Y472" s="52"/>
      <c r="Z472" s="11"/>
      <c r="AA472" s="11"/>
      <c r="AB472" s="11"/>
      <c r="AC472" s="11"/>
      <c r="AD472" s="11"/>
      <c r="AE472" s="11"/>
      <c r="AF472" s="11"/>
      <c r="AG472" s="10"/>
      <c r="AH472" s="10"/>
      <c r="AI472" s="10"/>
      <c r="AJ472" s="11"/>
      <c r="AK472" s="11"/>
      <c r="AM472" s="11"/>
      <c r="AN472" s="11"/>
      <c r="AO472" s="11"/>
      <c r="AP472" s="11"/>
      <c r="AQ472" s="11"/>
      <c r="AR472" s="11"/>
      <c r="AS472" s="11"/>
    </row>
    <row r="473" spans="1:45" x14ac:dyDescent="0.25">
      <c r="A473" s="11"/>
      <c r="B473" s="51" t="s">
        <v>1082</v>
      </c>
      <c r="C473" s="11"/>
      <c r="D473" s="51"/>
      <c r="E473" s="51"/>
      <c r="F473" s="5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9"/>
      <c r="R473" s="11"/>
      <c r="S473" s="11"/>
      <c r="T473" s="11"/>
      <c r="U473" s="11"/>
      <c r="V473" s="9"/>
      <c r="W473" s="11"/>
      <c r="X473" s="11"/>
      <c r="Y473" s="52"/>
      <c r="Z473" s="11"/>
      <c r="AA473" s="11"/>
      <c r="AB473" s="11"/>
      <c r="AC473" s="11"/>
      <c r="AD473" s="11"/>
      <c r="AE473" s="11"/>
      <c r="AF473" s="11"/>
      <c r="AG473" s="10"/>
      <c r="AH473" s="10"/>
      <c r="AI473" s="10"/>
      <c r="AJ473" s="11"/>
      <c r="AK473" s="11"/>
      <c r="AM473" s="11"/>
      <c r="AN473" s="11"/>
      <c r="AO473" s="11"/>
      <c r="AP473" s="11"/>
      <c r="AQ473" s="11"/>
      <c r="AR473" s="11"/>
      <c r="AS473" s="11"/>
    </row>
    <row r="474" spans="1:45" x14ac:dyDescent="0.25">
      <c r="A474" s="11"/>
      <c r="B474" s="51" t="s">
        <v>1082</v>
      </c>
      <c r="C474" s="11"/>
      <c r="D474" s="51"/>
      <c r="E474" s="51"/>
      <c r="F474" s="5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9"/>
      <c r="R474" s="11"/>
      <c r="S474" s="11"/>
      <c r="T474" s="11"/>
      <c r="U474" s="11"/>
      <c r="V474" s="9"/>
      <c r="W474" s="11"/>
      <c r="X474" s="11"/>
      <c r="Y474" s="52"/>
      <c r="Z474" s="11"/>
      <c r="AA474" s="11"/>
      <c r="AB474" s="11"/>
      <c r="AC474" s="11"/>
      <c r="AD474" s="11"/>
      <c r="AE474" s="11"/>
      <c r="AF474" s="11"/>
      <c r="AG474" s="10"/>
      <c r="AH474" s="10"/>
      <c r="AI474" s="10"/>
      <c r="AJ474" s="11"/>
      <c r="AK474" s="11"/>
      <c r="AM474" s="11"/>
      <c r="AN474" s="11"/>
      <c r="AO474" s="11"/>
      <c r="AP474" s="11"/>
      <c r="AQ474" s="11"/>
      <c r="AR474" s="11"/>
      <c r="AS474" s="11"/>
    </row>
    <row r="475" spans="1:45" x14ac:dyDescent="0.25">
      <c r="A475" s="11"/>
      <c r="B475" s="51" t="s">
        <v>1082</v>
      </c>
      <c r="C475" s="11"/>
      <c r="D475" s="51"/>
      <c r="E475" s="51"/>
      <c r="F475" s="5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9"/>
      <c r="R475" s="11"/>
      <c r="S475" s="11"/>
      <c r="T475" s="11"/>
      <c r="U475" s="11"/>
      <c r="V475" s="9"/>
      <c r="W475" s="11"/>
      <c r="X475" s="11"/>
      <c r="Y475" s="52"/>
      <c r="Z475" s="11"/>
      <c r="AA475" s="11"/>
      <c r="AB475" s="11"/>
      <c r="AC475" s="11"/>
      <c r="AD475" s="11"/>
      <c r="AE475" s="11"/>
      <c r="AF475" s="11"/>
      <c r="AG475" s="10"/>
      <c r="AH475" s="10"/>
      <c r="AI475" s="10"/>
      <c r="AJ475" s="11"/>
      <c r="AK475" s="11"/>
      <c r="AM475" s="11"/>
      <c r="AN475" s="11"/>
      <c r="AO475" s="11"/>
      <c r="AP475" s="11"/>
      <c r="AQ475" s="11"/>
      <c r="AR475" s="11"/>
      <c r="AS475" s="11"/>
    </row>
    <row r="476" spans="1:45" x14ac:dyDescent="0.25">
      <c r="A476" s="11"/>
      <c r="B476" s="51" t="s">
        <v>1082</v>
      </c>
      <c r="C476" s="11"/>
      <c r="D476" s="51"/>
      <c r="E476" s="51"/>
      <c r="F476" s="5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9"/>
      <c r="R476" s="11"/>
      <c r="S476" s="11"/>
      <c r="T476" s="11"/>
      <c r="U476" s="11"/>
      <c r="V476" s="9"/>
      <c r="W476" s="11"/>
      <c r="X476" s="11"/>
      <c r="Y476" s="52"/>
      <c r="Z476" s="11"/>
      <c r="AA476" s="11"/>
      <c r="AB476" s="11"/>
      <c r="AC476" s="11"/>
      <c r="AD476" s="11"/>
      <c r="AE476" s="11"/>
      <c r="AF476" s="11"/>
      <c r="AG476" s="10"/>
      <c r="AH476" s="10"/>
      <c r="AI476" s="10"/>
      <c r="AJ476" s="11"/>
      <c r="AK476" s="11"/>
      <c r="AM476" s="11"/>
      <c r="AN476" s="11"/>
      <c r="AO476" s="11"/>
      <c r="AP476" s="11"/>
      <c r="AQ476" s="11"/>
      <c r="AR476" s="11"/>
      <c r="AS476" s="11"/>
    </row>
    <row r="477" spans="1:45" x14ac:dyDescent="0.25">
      <c r="A477" s="11"/>
      <c r="B477" s="51" t="s">
        <v>1082</v>
      </c>
      <c r="C477" s="11"/>
      <c r="D477" s="51"/>
      <c r="E477" s="51"/>
      <c r="F477" s="5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9"/>
      <c r="R477" s="11"/>
      <c r="S477" s="11"/>
      <c r="T477" s="11"/>
      <c r="U477" s="11"/>
      <c r="V477" s="9"/>
      <c r="W477" s="11"/>
      <c r="X477" s="11"/>
      <c r="Y477" s="52"/>
      <c r="Z477" s="11"/>
      <c r="AA477" s="11"/>
      <c r="AB477" s="11"/>
      <c r="AC477" s="11"/>
      <c r="AD477" s="11"/>
      <c r="AE477" s="11"/>
      <c r="AF477" s="11"/>
      <c r="AG477" s="10"/>
      <c r="AH477" s="10"/>
      <c r="AI477" s="10"/>
      <c r="AJ477" s="11"/>
      <c r="AK477" s="11"/>
      <c r="AM477" s="11"/>
      <c r="AN477" s="11"/>
      <c r="AO477" s="11"/>
      <c r="AP477" s="11"/>
      <c r="AQ477" s="11"/>
      <c r="AR477" s="11"/>
      <c r="AS477" s="11"/>
    </row>
    <row r="478" spans="1:45" x14ac:dyDescent="0.25">
      <c r="A478" s="11"/>
      <c r="B478" s="51" t="s">
        <v>1082</v>
      </c>
      <c r="C478" s="11"/>
      <c r="D478" s="51"/>
      <c r="E478" s="51"/>
      <c r="F478" s="5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9"/>
      <c r="R478" s="11"/>
      <c r="S478" s="11"/>
      <c r="T478" s="11"/>
      <c r="U478" s="11"/>
      <c r="V478" s="9"/>
      <c r="W478" s="11"/>
      <c r="X478" s="11"/>
      <c r="Y478" s="52"/>
      <c r="Z478" s="11"/>
      <c r="AA478" s="11"/>
      <c r="AB478" s="11"/>
      <c r="AC478" s="11"/>
      <c r="AD478" s="11"/>
      <c r="AE478" s="11"/>
      <c r="AF478" s="11"/>
      <c r="AG478" s="10"/>
      <c r="AH478" s="10"/>
      <c r="AI478" s="10"/>
      <c r="AJ478" s="11"/>
      <c r="AK478" s="11"/>
      <c r="AM478" s="11"/>
      <c r="AN478" s="11"/>
      <c r="AO478" s="11"/>
      <c r="AP478" s="11"/>
      <c r="AQ478" s="11"/>
      <c r="AR478" s="11"/>
      <c r="AS478" s="11"/>
    </row>
    <row r="479" spans="1:45" x14ac:dyDescent="0.25">
      <c r="A479" s="11"/>
      <c r="B479" s="51" t="s">
        <v>1082</v>
      </c>
      <c r="C479" s="11"/>
      <c r="D479" s="51"/>
      <c r="E479" s="51"/>
      <c r="F479" s="5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9"/>
      <c r="R479" s="11"/>
      <c r="S479" s="11"/>
      <c r="T479" s="11"/>
      <c r="U479" s="11"/>
      <c r="V479" s="9"/>
      <c r="W479" s="11"/>
      <c r="X479" s="11"/>
      <c r="Y479" s="52"/>
      <c r="Z479" s="11"/>
      <c r="AA479" s="11"/>
      <c r="AB479" s="11"/>
      <c r="AC479" s="11"/>
      <c r="AD479" s="11"/>
      <c r="AE479" s="11"/>
      <c r="AF479" s="11"/>
      <c r="AG479" s="10"/>
      <c r="AH479" s="10"/>
      <c r="AI479" s="10"/>
      <c r="AJ479" s="11"/>
      <c r="AK479" s="11"/>
      <c r="AM479" s="11"/>
      <c r="AN479" s="11"/>
      <c r="AO479" s="11"/>
      <c r="AP479" s="11"/>
      <c r="AQ479" s="11"/>
      <c r="AR479" s="11"/>
      <c r="AS479" s="11"/>
    </row>
    <row r="480" spans="1:45" x14ac:dyDescent="0.25">
      <c r="A480" s="11"/>
      <c r="B480" s="51" t="s">
        <v>1082</v>
      </c>
      <c r="C480" s="11"/>
      <c r="D480" s="51"/>
      <c r="E480" s="51"/>
      <c r="F480" s="5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9"/>
      <c r="R480" s="11"/>
      <c r="S480" s="11"/>
      <c r="T480" s="11"/>
      <c r="U480" s="11"/>
      <c r="V480" s="9"/>
      <c r="W480" s="11"/>
      <c r="X480" s="11"/>
      <c r="Y480" s="52"/>
      <c r="Z480" s="11"/>
      <c r="AA480" s="11"/>
      <c r="AB480" s="11"/>
      <c r="AC480" s="11"/>
      <c r="AD480" s="11"/>
      <c r="AE480" s="11"/>
      <c r="AF480" s="11"/>
      <c r="AG480" s="10"/>
      <c r="AH480" s="10"/>
      <c r="AI480" s="10"/>
      <c r="AJ480" s="11"/>
      <c r="AK480" s="11"/>
      <c r="AM480" s="11"/>
      <c r="AN480" s="11"/>
      <c r="AO480" s="11"/>
      <c r="AP480" s="11"/>
      <c r="AQ480" s="11"/>
      <c r="AR480" s="11"/>
      <c r="AS480" s="11"/>
    </row>
    <row r="481" spans="1:45" x14ac:dyDescent="0.25">
      <c r="A481" s="11"/>
      <c r="B481" s="51" t="s">
        <v>1082</v>
      </c>
      <c r="C481" s="11"/>
      <c r="D481" s="51"/>
      <c r="E481" s="51"/>
      <c r="F481" s="5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9"/>
      <c r="R481" s="11"/>
      <c r="S481" s="11"/>
      <c r="T481" s="11"/>
      <c r="U481" s="11"/>
      <c r="V481" s="9"/>
      <c r="W481" s="11"/>
      <c r="X481" s="11"/>
      <c r="Y481" s="52"/>
      <c r="Z481" s="11"/>
      <c r="AA481" s="11"/>
      <c r="AB481" s="11"/>
      <c r="AC481" s="11"/>
      <c r="AD481" s="11"/>
      <c r="AE481" s="11"/>
      <c r="AF481" s="11"/>
      <c r="AG481" s="10"/>
      <c r="AH481" s="10"/>
      <c r="AI481" s="10"/>
      <c r="AJ481" s="11"/>
      <c r="AK481" s="11"/>
      <c r="AM481" s="11"/>
      <c r="AN481" s="11"/>
      <c r="AO481" s="11"/>
      <c r="AP481" s="11"/>
      <c r="AQ481" s="11"/>
      <c r="AR481" s="11"/>
      <c r="AS481" s="11"/>
    </row>
    <row r="482" spans="1:45" x14ac:dyDescent="0.25">
      <c r="A482" s="11"/>
      <c r="B482" s="51" t="s">
        <v>1082</v>
      </c>
      <c r="C482" s="11"/>
      <c r="D482" s="51"/>
      <c r="E482" s="51"/>
      <c r="F482" s="5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9"/>
      <c r="R482" s="11"/>
      <c r="S482" s="11"/>
      <c r="T482" s="11"/>
      <c r="U482" s="11"/>
      <c r="V482" s="9"/>
      <c r="W482" s="11"/>
      <c r="X482" s="11"/>
      <c r="Y482" s="52"/>
      <c r="Z482" s="11"/>
      <c r="AA482" s="11"/>
      <c r="AB482" s="11"/>
      <c r="AC482" s="11"/>
      <c r="AD482" s="11"/>
      <c r="AE482" s="11"/>
      <c r="AF482" s="11"/>
      <c r="AG482" s="10"/>
      <c r="AH482" s="10"/>
      <c r="AI482" s="10"/>
      <c r="AJ482" s="11"/>
      <c r="AK482" s="11"/>
      <c r="AM482" s="11"/>
      <c r="AN482" s="11"/>
      <c r="AO482" s="11"/>
      <c r="AP482" s="11"/>
      <c r="AQ482" s="11"/>
      <c r="AR482" s="11"/>
      <c r="AS482" s="11"/>
    </row>
    <row r="483" spans="1:45" x14ac:dyDescent="0.25">
      <c r="A483" s="11"/>
      <c r="B483" s="51" t="s">
        <v>1082</v>
      </c>
      <c r="C483" s="11"/>
      <c r="D483" s="51"/>
      <c r="E483" s="51"/>
      <c r="F483" s="5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9"/>
      <c r="R483" s="11"/>
      <c r="S483" s="11"/>
      <c r="T483" s="11"/>
      <c r="U483" s="11"/>
      <c r="V483" s="9"/>
      <c r="W483" s="11"/>
      <c r="X483" s="11"/>
      <c r="Y483" s="52"/>
      <c r="Z483" s="11"/>
      <c r="AA483" s="11"/>
      <c r="AB483" s="11"/>
      <c r="AC483" s="11"/>
      <c r="AD483" s="11"/>
      <c r="AE483" s="11"/>
      <c r="AF483" s="11"/>
      <c r="AG483" s="10"/>
      <c r="AH483" s="10"/>
      <c r="AI483" s="10"/>
      <c r="AJ483" s="11"/>
      <c r="AK483" s="11"/>
      <c r="AM483" s="11"/>
      <c r="AN483" s="11"/>
      <c r="AO483" s="11"/>
      <c r="AP483" s="11"/>
      <c r="AQ483" s="11"/>
      <c r="AR483" s="11"/>
      <c r="AS483" s="11"/>
    </row>
    <row r="484" spans="1:45" x14ac:dyDescent="0.25">
      <c r="A484" s="11"/>
      <c r="B484" s="51" t="s">
        <v>1082</v>
      </c>
      <c r="C484" s="11"/>
      <c r="D484" s="51"/>
      <c r="E484" s="51"/>
      <c r="F484" s="5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9"/>
      <c r="R484" s="11"/>
      <c r="S484" s="11"/>
      <c r="T484" s="11"/>
      <c r="U484" s="11"/>
      <c r="V484" s="9"/>
      <c r="W484" s="11"/>
      <c r="X484" s="11"/>
      <c r="Y484" s="52"/>
      <c r="Z484" s="11"/>
      <c r="AA484" s="11"/>
      <c r="AB484" s="11"/>
      <c r="AC484" s="11"/>
      <c r="AD484" s="11"/>
      <c r="AE484" s="11"/>
      <c r="AF484" s="11"/>
      <c r="AG484" s="10"/>
      <c r="AH484" s="10"/>
      <c r="AI484" s="10"/>
      <c r="AJ484" s="11"/>
      <c r="AK484" s="11"/>
      <c r="AM484" s="11"/>
      <c r="AN484" s="11"/>
      <c r="AO484" s="11"/>
      <c r="AP484" s="11"/>
      <c r="AQ484" s="11"/>
      <c r="AR484" s="11"/>
      <c r="AS484" s="11"/>
    </row>
    <row r="485" spans="1:45" x14ac:dyDescent="0.25">
      <c r="A485" s="11"/>
      <c r="B485" s="51" t="s">
        <v>1082</v>
      </c>
      <c r="C485" s="11"/>
      <c r="D485" s="51"/>
      <c r="E485" s="51"/>
      <c r="F485" s="5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9"/>
      <c r="R485" s="11"/>
      <c r="S485" s="11"/>
      <c r="T485" s="11"/>
      <c r="U485" s="11"/>
      <c r="V485" s="9"/>
      <c r="W485" s="11"/>
      <c r="X485" s="11"/>
      <c r="Y485" s="52"/>
      <c r="Z485" s="11"/>
      <c r="AA485" s="11"/>
      <c r="AB485" s="11"/>
      <c r="AC485" s="11"/>
      <c r="AD485" s="11"/>
      <c r="AE485" s="11"/>
      <c r="AF485" s="11"/>
      <c r="AG485" s="10"/>
      <c r="AH485" s="10"/>
      <c r="AI485" s="10"/>
      <c r="AJ485" s="11"/>
      <c r="AK485" s="11"/>
      <c r="AM485" s="11"/>
      <c r="AN485" s="11"/>
      <c r="AO485" s="11"/>
      <c r="AP485" s="11"/>
      <c r="AQ485" s="11"/>
      <c r="AR485" s="11"/>
      <c r="AS485" s="11"/>
    </row>
    <row r="486" spans="1:45" x14ac:dyDescent="0.25">
      <c r="A486" s="11"/>
      <c r="B486" s="51" t="s">
        <v>1082</v>
      </c>
      <c r="C486" s="11"/>
      <c r="D486" s="51"/>
      <c r="E486" s="51"/>
      <c r="F486" s="5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9"/>
      <c r="R486" s="11"/>
      <c r="S486" s="11"/>
      <c r="T486" s="11"/>
      <c r="U486" s="11"/>
      <c r="V486" s="9"/>
      <c r="W486" s="11"/>
      <c r="X486" s="11"/>
      <c r="Y486" s="52"/>
      <c r="Z486" s="11"/>
      <c r="AA486" s="11"/>
      <c r="AB486" s="11"/>
      <c r="AC486" s="11"/>
      <c r="AD486" s="11"/>
      <c r="AE486" s="11"/>
      <c r="AF486" s="11"/>
      <c r="AG486" s="10"/>
      <c r="AH486" s="10"/>
      <c r="AI486" s="10"/>
      <c r="AJ486" s="11"/>
      <c r="AK486" s="11"/>
      <c r="AM486" s="11"/>
      <c r="AN486" s="11"/>
      <c r="AO486" s="11"/>
      <c r="AP486" s="11"/>
      <c r="AQ486" s="11"/>
      <c r="AR486" s="11"/>
      <c r="AS486" s="11"/>
    </row>
    <row r="487" spans="1:45" x14ac:dyDescent="0.25">
      <c r="A487" s="11"/>
      <c r="B487" s="51" t="s">
        <v>1082</v>
      </c>
      <c r="C487" s="11"/>
      <c r="D487" s="51"/>
      <c r="E487" s="51"/>
      <c r="F487" s="5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9"/>
      <c r="R487" s="11"/>
      <c r="S487" s="11"/>
      <c r="T487" s="11"/>
      <c r="U487" s="11"/>
      <c r="V487" s="9"/>
      <c r="W487" s="11"/>
      <c r="X487" s="11"/>
      <c r="Y487" s="52"/>
      <c r="Z487" s="11"/>
      <c r="AA487" s="11"/>
      <c r="AB487" s="11"/>
      <c r="AC487" s="11"/>
      <c r="AD487" s="11"/>
      <c r="AE487" s="11"/>
      <c r="AF487" s="11"/>
      <c r="AG487" s="10"/>
      <c r="AH487" s="10"/>
      <c r="AI487" s="10"/>
      <c r="AJ487" s="11"/>
      <c r="AK487" s="11"/>
      <c r="AM487" s="11"/>
      <c r="AN487" s="11"/>
      <c r="AO487" s="11"/>
      <c r="AP487" s="11"/>
      <c r="AQ487" s="11"/>
      <c r="AR487" s="11"/>
      <c r="AS487" s="11"/>
    </row>
    <row r="488" spans="1:45" x14ac:dyDescent="0.25">
      <c r="A488" s="11"/>
      <c r="B488" s="51" t="s">
        <v>1082</v>
      </c>
      <c r="C488" s="11"/>
      <c r="D488" s="51"/>
      <c r="E488" s="51"/>
      <c r="F488" s="5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9"/>
      <c r="R488" s="11"/>
      <c r="S488" s="11"/>
      <c r="T488" s="11"/>
      <c r="U488" s="11"/>
      <c r="V488" s="9"/>
      <c r="W488" s="11"/>
      <c r="X488" s="11"/>
      <c r="Y488" s="52"/>
      <c r="Z488" s="11"/>
      <c r="AA488" s="11"/>
      <c r="AB488" s="11"/>
      <c r="AC488" s="11"/>
      <c r="AD488" s="11"/>
      <c r="AE488" s="11"/>
      <c r="AF488" s="11"/>
      <c r="AG488" s="10"/>
      <c r="AH488" s="10"/>
      <c r="AI488" s="10"/>
      <c r="AJ488" s="11"/>
      <c r="AK488" s="11"/>
      <c r="AM488" s="11"/>
      <c r="AN488" s="11"/>
      <c r="AO488" s="11"/>
      <c r="AP488" s="11"/>
      <c r="AQ488" s="11"/>
      <c r="AR488" s="11"/>
      <c r="AS488" s="11"/>
    </row>
    <row r="489" spans="1:45" x14ac:dyDescent="0.25">
      <c r="A489" s="11"/>
      <c r="B489" s="51" t="s">
        <v>1082</v>
      </c>
      <c r="C489" s="11"/>
      <c r="D489" s="51"/>
      <c r="E489" s="51"/>
      <c r="F489" s="5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9"/>
      <c r="R489" s="11"/>
      <c r="S489" s="11"/>
      <c r="T489" s="11"/>
      <c r="U489" s="11"/>
      <c r="V489" s="9"/>
      <c r="W489" s="11"/>
      <c r="X489" s="11"/>
      <c r="Y489" s="52"/>
      <c r="Z489" s="11"/>
      <c r="AA489" s="11"/>
      <c r="AB489" s="11"/>
      <c r="AC489" s="11"/>
      <c r="AD489" s="11"/>
      <c r="AE489" s="11"/>
      <c r="AF489" s="11"/>
      <c r="AG489" s="10"/>
      <c r="AH489" s="10"/>
      <c r="AI489" s="10"/>
      <c r="AJ489" s="11"/>
      <c r="AK489" s="11"/>
      <c r="AM489" s="11"/>
      <c r="AN489" s="11"/>
      <c r="AO489" s="11"/>
      <c r="AP489" s="11"/>
      <c r="AQ489" s="11"/>
      <c r="AR489" s="11"/>
      <c r="AS489" s="11"/>
    </row>
    <row r="490" spans="1:45" x14ac:dyDescent="0.25">
      <c r="A490" s="11"/>
      <c r="B490" s="51" t="s">
        <v>1082</v>
      </c>
      <c r="C490" s="11"/>
      <c r="D490" s="51"/>
      <c r="E490" s="51"/>
      <c r="F490" s="5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9"/>
      <c r="R490" s="11"/>
      <c r="S490" s="11"/>
      <c r="T490" s="11"/>
      <c r="U490" s="11"/>
      <c r="V490" s="9"/>
      <c r="W490" s="11"/>
      <c r="X490" s="11"/>
      <c r="Y490" s="52"/>
      <c r="Z490" s="11"/>
      <c r="AA490" s="11"/>
      <c r="AB490" s="11"/>
      <c r="AC490" s="11"/>
      <c r="AD490" s="11"/>
      <c r="AE490" s="11"/>
      <c r="AF490" s="11"/>
      <c r="AG490" s="10"/>
      <c r="AH490" s="10"/>
      <c r="AI490" s="10"/>
      <c r="AJ490" s="11"/>
      <c r="AK490" s="11"/>
      <c r="AM490" s="11"/>
      <c r="AN490" s="11"/>
      <c r="AO490" s="11"/>
      <c r="AP490" s="11"/>
      <c r="AQ490" s="11"/>
      <c r="AR490" s="11"/>
      <c r="AS490" s="11"/>
    </row>
    <row r="491" spans="1:45" x14ac:dyDescent="0.25">
      <c r="A491" s="11"/>
      <c r="B491" s="51" t="s">
        <v>1082</v>
      </c>
      <c r="C491" s="11"/>
      <c r="D491" s="51"/>
      <c r="E491" s="51"/>
      <c r="F491" s="5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9"/>
      <c r="R491" s="11"/>
      <c r="S491" s="11"/>
      <c r="T491" s="11"/>
      <c r="U491" s="11"/>
      <c r="V491" s="9"/>
      <c r="W491" s="11"/>
      <c r="X491" s="11"/>
      <c r="Y491" s="52"/>
      <c r="Z491" s="11"/>
      <c r="AA491" s="11"/>
      <c r="AB491" s="11"/>
      <c r="AC491" s="11"/>
      <c r="AD491" s="11"/>
      <c r="AE491" s="11"/>
      <c r="AF491" s="11"/>
      <c r="AG491" s="10"/>
      <c r="AH491" s="10"/>
      <c r="AI491" s="10"/>
      <c r="AJ491" s="11"/>
      <c r="AK491" s="11"/>
      <c r="AM491" s="11"/>
      <c r="AN491" s="11"/>
      <c r="AO491" s="11"/>
      <c r="AP491" s="11"/>
      <c r="AQ491" s="11"/>
      <c r="AR491" s="11"/>
      <c r="AS491" s="11"/>
    </row>
    <row r="492" spans="1:45" x14ac:dyDescent="0.25">
      <c r="A492" s="11"/>
      <c r="B492" s="51" t="s">
        <v>1082</v>
      </c>
      <c r="C492" s="11"/>
      <c r="D492" s="51"/>
      <c r="E492" s="51"/>
      <c r="F492" s="5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9"/>
      <c r="R492" s="11"/>
      <c r="S492" s="11"/>
      <c r="T492" s="11"/>
      <c r="U492" s="11"/>
      <c r="V492" s="9"/>
      <c r="W492" s="11"/>
      <c r="X492" s="11"/>
      <c r="Y492" s="52"/>
      <c r="Z492" s="11"/>
      <c r="AA492" s="11"/>
      <c r="AB492" s="11"/>
      <c r="AC492" s="11"/>
      <c r="AD492" s="11"/>
      <c r="AE492" s="11"/>
      <c r="AF492" s="11"/>
      <c r="AG492" s="10"/>
      <c r="AH492" s="10"/>
      <c r="AI492" s="10"/>
      <c r="AJ492" s="11"/>
      <c r="AK492" s="11"/>
      <c r="AM492" s="11"/>
      <c r="AN492" s="11"/>
      <c r="AO492" s="11"/>
      <c r="AP492" s="11"/>
      <c r="AQ492" s="11"/>
      <c r="AR492" s="11"/>
      <c r="AS492" s="11"/>
    </row>
    <row r="493" spans="1:45" x14ac:dyDescent="0.25">
      <c r="A493" s="11"/>
      <c r="B493" s="51" t="s">
        <v>1082</v>
      </c>
      <c r="C493" s="11"/>
      <c r="D493" s="51"/>
      <c r="E493" s="51"/>
      <c r="F493" s="5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9"/>
      <c r="R493" s="11"/>
      <c r="S493" s="11"/>
      <c r="T493" s="11"/>
      <c r="U493" s="11"/>
      <c r="V493" s="9"/>
      <c r="W493" s="11"/>
      <c r="X493" s="11"/>
      <c r="Y493" s="52"/>
      <c r="Z493" s="11"/>
      <c r="AA493" s="11"/>
      <c r="AB493" s="11"/>
      <c r="AC493" s="11"/>
      <c r="AD493" s="11"/>
      <c r="AE493" s="11"/>
      <c r="AF493" s="11"/>
      <c r="AG493" s="10"/>
      <c r="AH493" s="10"/>
      <c r="AI493" s="10"/>
      <c r="AJ493" s="11"/>
      <c r="AK493" s="11"/>
      <c r="AM493" s="11"/>
      <c r="AN493" s="11"/>
      <c r="AO493" s="11"/>
      <c r="AP493" s="11"/>
      <c r="AQ493" s="11"/>
      <c r="AR493" s="11"/>
      <c r="AS493" s="11"/>
    </row>
    <row r="494" spans="1:45" x14ac:dyDescent="0.25">
      <c r="A494" s="11"/>
      <c r="B494" s="51" t="s">
        <v>1082</v>
      </c>
      <c r="C494" s="11"/>
      <c r="D494" s="51"/>
      <c r="E494" s="51"/>
      <c r="F494" s="5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9"/>
      <c r="R494" s="11"/>
      <c r="S494" s="11"/>
      <c r="T494" s="11"/>
      <c r="U494" s="11"/>
      <c r="V494" s="9"/>
      <c r="W494" s="11"/>
      <c r="X494" s="11"/>
      <c r="Y494" s="52"/>
      <c r="Z494" s="11"/>
      <c r="AA494" s="11"/>
      <c r="AB494" s="11"/>
      <c r="AC494" s="11"/>
      <c r="AD494" s="11"/>
      <c r="AE494" s="11"/>
      <c r="AF494" s="11"/>
      <c r="AG494" s="10"/>
      <c r="AH494" s="10"/>
      <c r="AI494" s="10"/>
      <c r="AJ494" s="11"/>
      <c r="AK494" s="11"/>
      <c r="AM494" s="11"/>
      <c r="AN494" s="11"/>
      <c r="AO494" s="11"/>
      <c r="AP494" s="11"/>
      <c r="AQ494" s="11"/>
      <c r="AR494" s="11"/>
      <c r="AS494" s="11"/>
    </row>
    <row r="495" spans="1:45" x14ac:dyDescent="0.25">
      <c r="A495" s="11"/>
      <c r="B495" s="51" t="s">
        <v>1082</v>
      </c>
      <c r="C495" s="11"/>
      <c r="D495" s="51"/>
      <c r="E495" s="51"/>
      <c r="F495" s="5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9"/>
      <c r="R495" s="11"/>
      <c r="S495" s="11"/>
      <c r="T495" s="11"/>
      <c r="U495" s="11"/>
      <c r="V495" s="9"/>
      <c r="W495" s="11"/>
      <c r="X495" s="11"/>
      <c r="Y495" s="52"/>
      <c r="Z495" s="11"/>
      <c r="AA495" s="11"/>
      <c r="AB495" s="11"/>
      <c r="AC495" s="11"/>
      <c r="AD495" s="11"/>
      <c r="AE495" s="11"/>
      <c r="AF495" s="11"/>
      <c r="AG495" s="10"/>
      <c r="AH495" s="10"/>
      <c r="AI495" s="10"/>
      <c r="AJ495" s="11"/>
      <c r="AK495" s="11"/>
      <c r="AM495" s="11"/>
      <c r="AN495" s="11"/>
      <c r="AO495" s="11"/>
      <c r="AP495" s="11"/>
      <c r="AQ495" s="11"/>
      <c r="AR495" s="11"/>
      <c r="AS495" s="11"/>
    </row>
    <row r="496" spans="1:45" x14ac:dyDescent="0.25">
      <c r="A496" s="11"/>
      <c r="B496" s="51" t="s">
        <v>1082</v>
      </c>
      <c r="C496" s="11"/>
      <c r="D496" s="51"/>
      <c r="E496" s="51"/>
      <c r="F496" s="5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9"/>
      <c r="R496" s="11"/>
      <c r="S496" s="11"/>
      <c r="T496" s="11"/>
      <c r="U496" s="11"/>
      <c r="V496" s="9"/>
      <c r="W496" s="11"/>
      <c r="X496" s="11"/>
      <c r="Y496" s="52"/>
      <c r="Z496" s="11"/>
      <c r="AA496" s="11"/>
      <c r="AB496" s="11"/>
      <c r="AC496" s="11"/>
      <c r="AD496" s="11"/>
      <c r="AE496" s="11"/>
      <c r="AF496" s="11"/>
      <c r="AG496" s="10"/>
      <c r="AH496" s="10"/>
      <c r="AI496" s="10"/>
      <c r="AJ496" s="11"/>
      <c r="AK496" s="11"/>
      <c r="AM496" s="11"/>
      <c r="AN496" s="11"/>
      <c r="AO496" s="11"/>
      <c r="AP496" s="11"/>
      <c r="AQ496" s="11"/>
      <c r="AR496" s="11"/>
      <c r="AS496" s="11"/>
    </row>
    <row r="497" spans="1:45" x14ac:dyDescent="0.25">
      <c r="A497" s="11"/>
      <c r="B497" s="51" t="s">
        <v>1082</v>
      </c>
      <c r="C497" s="11"/>
      <c r="D497" s="51"/>
      <c r="E497" s="51"/>
      <c r="F497" s="5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9"/>
      <c r="R497" s="11"/>
      <c r="S497" s="11"/>
      <c r="T497" s="11"/>
      <c r="U497" s="11"/>
      <c r="V497" s="9"/>
      <c r="W497" s="11"/>
      <c r="X497" s="11"/>
      <c r="Y497" s="52"/>
      <c r="Z497" s="11"/>
      <c r="AA497" s="11"/>
      <c r="AB497" s="11"/>
      <c r="AC497" s="11"/>
      <c r="AD497" s="11"/>
      <c r="AE497" s="11"/>
      <c r="AF497" s="11"/>
      <c r="AG497" s="10"/>
      <c r="AH497" s="10"/>
      <c r="AI497" s="10"/>
      <c r="AJ497" s="11"/>
      <c r="AK497" s="11"/>
      <c r="AM497" s="11"/>
      <c r="AN497" s="11"/>
      <c r="AO497" s="11"/>
      <c r="AP497" s="11"/>
      <c r="AQ497" s="11"/>
      <c r="AR497" s="11"/>
      <c r="AS497" s="11"/>
    </row>
    <row r="498" spans="1:45" x14ac:dyDescent="0.25">
      <c r="A498" s="11"/>
      <c r="B498" s="51" t="s">
        <v>1082</v>
      </c>
      <c r="C498" s="11"/>
      <c r="D498" s="51"/>
      <c r="E498" s="51"/>
      <c r="F498" s="5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9"/>
      <c r="R498" s="11"/>
      <c r="S498" s="11"/>
      <c r="T498" s="11"/>
      <c r="U498" s="11"/>
      <c r="V498" s="9"/>
      <c r="W498" s="11"/>
      <c r="X498" s="11"/>
      <c r="Y498" s="52"/>
      <c r="Z498" s="11"/>
      <c r="AA498" s="11"/>
      <c r="AB498" s="11"/>
      <c r="AC498" s="11"/>
      <c r="AD498" s="11"/>
      <c r="AE498" s="11"/>
      <c r="AF498" s="11"/>
      <c r="AG498" s="10"/>
      <c r="AH498" s="10"/>
      <c r="AI498" s="10"/>
      <c r="AJ498" s="11"/>
      <c r="AK498" s="11"/>
      <c r="AM498" s="11"/>
      <c r="AN498" s="11"/>
      <c r="AO498" s="11"/>
      <c r="AP498" s="11"/>
      <c r="AQ498" s="11"/>
      <c r="AR498" s="11"/>
      <c r="AS498" s="11"/>
    </row>
    <row r="499" spans="1:45" x14ac:dyDescent="0.25">
      <c r="A499" s="11"/>
      <c r="B499" s="51" t="s">
        <v>1082</v>
      </c>
      <c r="C499" s="11"/>
      <c r="D499" s="51"/>
      <c r="E499" s="51"/>
      <c r="F499" s="5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9"/>
      <c r="R499" s="11"/>
      <c r="S499" s="11"/>
      <c r="T499" s="11"/>
      <c r="U499" s="11"/>
      <c r="V499" s="9"/>
      <c r="W499" s="11"/>
      <c r="X499" s="11"/>
      <c r="Y499" s="52"/>
      <c r="Z499" s="11"/>
      <c r="AA499" s="11"/>
      <c r="AB499" s="11"/>
      <c r="AC499" s="11"/>
      <c r="AD499" s="11"/>
      <c r="AE499" s="11"/>
      <c r="AF499" s="11"/>
      <c r="AG499" s="10"/>
      <c r="AH499" s="10"/>
      <c r="AI499" s="10"/>
      <c r="AJ499" s="11"/>
      <c r="AK499" s="11"/>
      <c r="AM499" s="11"/>
      <c r="AN499" s="11"/>
      <c r="AO499" s="11"/>
      <c r="AP499" s="11"/>
      <c r="AQ499" s="11"/>
      <c r="AR499" s="11"/>
      <c r="AS499" s="11"/>
    </row>
    <row r="500" spans="1:45" x14ac:dyDescent="0.25">
      <c r="A500" s="11"/>
      <c r="B500" s="51" t="s">
        <v>1082</v>
      </c>
      <c r="C500" s="11"/>
      <c r="D500" s="51"/>
      <c r="E500" s="51"/>
      <c r="F500" s="5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9"/>
      <c r="R500" s="11"/>
      <c r="S500" s="11"/>
      <c r="T500" s="11"/>
      <c r="U500" s="11"/>
      <c r="V500" s="9"/>
      <c r="W500" s="11"/>
      <c r="X500" s="11"/>
      <c r="Y500" s="52"/>
      <c r="Z500" s="11"/>
      <c r="AA500" s="11"/>
      <c r="AB500" s="11"/>
      <c r="AC500" s="11"/>
      <c r="AD500" s="11"/>
      <c r="AE500" s="11"/>
      <c r="AF500" s="11"/>
      <c r="AG500" s="10"/>
      <c r="AH500" s="10"/>
      <c r="AI500" s="10"/>
      <c r="AJ500" s="11"/>
      <c r="AK500" s="11"/>
      <c r="AM500" s="11"/>
      <c r="AN500" s="11"/>
      <c r="AO500" s="11"/>
      <c r="AP500" s="11"/>
      <c r="AQ500" s="11"/>
      <c r="AR500" s="11"/>
      <c r="AS500" s="11"/>
    </row>
    <row r="501" spans="1:45" x14ac:dyDescent="0.25">
      <c r="A501" s="11"/>
      <c r="B501" s="51" t="s">
        <v>1082</v>
      </c>
      <c r="C501" s="11"/>
      <c r="D501" s="51"/>
      <c r="E501" s="51"/>
      <c r="F501" s="5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9"/>
      <c r="R501" s="11"/>
      <c r="S501" s="11"/>
      <c r="T501" s="11"/>
      <c r="U501" s="11"/>
      <c r="V501" s="9"/>
      <c r="W501" s="11"/>
      <c r="X501" s="11"/>
      <c r="Y501" s="52"/>
      <c r="Z501" s="11"/>
      <c r="AA501" s="11"/>
      <c r="AB501" s="11"/>
      <c r="AC501" s="11"/>
      <c r="AD501" s="11"/>
      <c r="AE501" s="11"/>
      <c r="AF501" s="11"/>
      <c r="AG501" s="10"/>
      <c r="AH501" s="10"/>
      <c r="AI501" s="10"/>
      <c r="AJ501" s="11"/>
      <c r="AK501" s="11"/>
      <c r="AM501" s="11"/>
      <c r="AN501" s="11"/>
      <c r="AO501" s="11"/>
      <c r="AP501" s="11"/>
      <c r="AQ501" s="11"/>
      <c r="AR501" s="11"/>
      <c r="AS501" s="11"/>
    </row>
    <row r="502" spans="1:45" x14ac:dyDescent="0.25">
      <c r="A502" s="11"/>
      <c r="B502" s="51" t="s">
        <v>1082</v>
      </c>
      <c r="C502" s="11"/>
      <c r="D502" s="51"/>
      <c r="E502" s="51"/>
      <c r="F502" s="51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9"/>
      <c r="R502" s="11"/>
      <c r="S502" s="11"/>
      <c r="T502" s="11"/>
      <c r="U502" s="11"/>
      <c r="V502" s="9"/>
      <c r="W502" s="11"/>
      <c r="X502" s="11"/>
      <c r="Y502" s="52"/>
      <c r="Z502" s="11"/>
      <c r="AA502" s="11"/>
      <c r="AB502" s="11"/>
      <c r="AC502" s="11"/>
      <c r="AD502" s="11"/>
      <c r="AE502" s="11"/>
      <c r="AF502" s="11"/>
      <c r="AG502" s="10"/>
      <c r="AH502" s="10"/>
      <c r="AI502" s="10"/>
      <c r="AJ502" s="11"/>
      <c r="AK502" s="11"/>
      <c r="AM502" s="11"/>
      <c r="AN502" s="11"/>
      <c r="AO502" s="11"/>
      <c r="AP502" s="11"/>
      <c r="AQ502" s="11"/>
      <c r="AR502" s="11"/>
      <c r="AS502" s="11"/>
    </row>
    <row r="503" spans="1:45" x14ac:dyDescent="0.25">
      <c r="A503" s="11"/>
      <c r="B503" s="51" t="s">
        <v>1082</v>
      </c>
      <c r="C503" s="11"/>
      <c r="D503" s="51"/>
      <c r="E503" s="51"/>
      <c r="F503" s="51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9"/>
      <c r="R503" s="11"/>
      <c r="S503" s="11"/>
      <c r="T503" s="11"/>
      <c r="U503" s="11"/>
      <c r="V503" s="9"/>
      <c r="W503" s="11"/>
      <c r="X503" s="11"/>
      <c r="Y503" s="52"/>
      <c r="Z503" s="11"/>
      <c r="AA503" s="11"/>
      <c r="AB503" s="11"/>
      <c r="AC503" s="11"/>
      <c r="AD503" s="11"/>
      <c r="AE503" s="11"/>
      <c r="AF503" s="11"/>
      <c r="AG503" s="10"/>
      <c r="AH503" s="10"/>
      <c r="AI503" s="10"/>
      <c r="AJ503" s="11"/>
      <c r="AK503" s="11"/>
      <c r="AM503" s="11"/>
      <c r="AN503" s="11"/>
      <c r="AO503" s="11"/>
      <c r="AP503" s="11"/>
      <c r="AQ503" s="11"/>
      <c r="AR503" s="11"/>
      <c r="AS503" s="11"/>
    </row>
    <row r="504" spans="1:45" x14ac:dyDescent="0.25">
      <c r="A504" s="11"/>
      <c r="B504" s="51" t="s">
        <v>1082</v>
      </c>
      <c r="C504" s="11"/>
      <c r="D504" s="51"/>
      <c r="E504" s="51"/>
      <c r="F504" s="51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9"/>
      <c r="R504" s="11"/>
      <c r="S504" s="11"/>
      <c r="T504" s="11"/>
      <c r="U504" s="11"/>
      <c r="V504" s="9"/>
      <c r="W504" s="11"/>
      <c r="X504" s="11"/>
      <c r="Y504" s="52"/>
      <c r="Z504" s="11"/>
      <c r="AA504" s="11"/>
      <c r="AB504" s="11"/>
      <c r="AC504" s="11"/>
      <c r="AD504" s="11"/>
      <c r="AE504" s="11"/>
      <c r="AF504" s="11"/>
      <c r="AG504" s="10"/>
      <c r="AH504" s="10"/>
      <c r="AI504" s="10"/>
      <c r="AJ504" s="11"/>
      <c r="AK504" s="11"/>
      <c r="AM504" s="11"/>
      <c r="AN504" s="11"/>
      <c r="AO504" s="11"/>
      <c r="AP504" s="11"/>
      <c r="AQ504" s="11"/>
      <c r="AR504" s="11"/>
      <c r="AS504" s="11"/>
    </row>
    <row r="505" spans="1:45" x14ac:dyDescent="0.25">
      <c r="A505" s="11"/>
      <c r="B505" s="51" t="s">
        <v>1082</v>
      </c>
      <c r="C505" s="11"/>
      <c r="D505" s="51"/>
      <c r="E505" s="51"/>
      <c r="F505" s="51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9"/>
      <c r="R505" s="11"/>
      <c r="S505" s="11"/>
      <c r="T505" s="11"/>
      <c r="U505" s="11"/>
      <c r="V505" s="9"/>
      <c r="W505" s="11"/>
      <c r="X505" s="11"/>
      <c r="Y505" s="52"/>
      <c r="Z505" s="11"/>
      <c r="AA505" s="11"/>
      <c r="AB505" s="11"/>
      <c r="AC505" s="11"/>
      <c r="AD505" s="11"/>
      <c r="AE505" s="11"/>
      <c r="AF505" s="11"/>
      <c r="AG505" s="10"/>
      <c r="AH505" s="10"/>
      <c r="AI505" s="10"/>
      <c r="AJ505" s="11"/>
      <c r="AK505" s="11"/>
      <c r="AM505" s="11"/>
      <c r="AN505" s="11"/>
      <c r="AO505" s="11"/>
      <c r="AP505" s="11"/>
      <c r="AQ505" s="11"/>
      <c r="AR505" s="11"/>
      <c r="AS505" s="11"/>
    </row>
    <row r="506" spans="1:45" x14ac:dyDescent="0.25">
      <c r="A506" s="11"/>
      <c r="B506" s="51" t="s">
        <v>1082</v>
      </c>
      <c r="C506" s="11"/>
      <c r="D506" s="51"/>
      <c r="E506" s="51"/>
      <c r="F506" s="51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9"/>
      <c r="R506" s="11"/>
      <c r="S506" s="11"/>
      <c r="T506" s="11"/>
      <c r="U506" s="11"/>
      <c r="V506" s="9"/>
      <c r="W506" s="11"/>
      <c r="X506" s="11"/>
      <c r="Y506" s="52"/>
      <c r="Z506" s="11"/>
      <c r="AA506" s="11"/>
      <c r="AB506" s="11"/>
      <c r="AC506" s="11"/>
      <c r="AD506" s="11"/>
      <c r="AE506" s="11"/>
      <c r="AF506" s="11"/>
      <c r="AG506" s="10"/>
      <c r="AH506" s="10"/>
      <c r="AI506" s="10"/>
      <c r="AJ506" s="11"/>
      <c r="AK506" s="11"/>
      <c r="AM506" s="11"/>
      <c r="AN506" s="11"/>
      <c r="AO506" s="11"/>
      <c r="AP506" s="11"/>
      <c r="AQ506" s="11"/>
      <c r="AR506" s="11"/>
      <c r="AS506" s="11"/>
    </row>
    <row r="507" spans="1:45" x14ac:dyDescent="0.25">
      <c r="A507" s="11"/>
      <c r="B507" s="51" t="s">
        <v>1082</v>
      </c>
      <c r="C507" s="11"/>
      <c r="D507" s="51"/>
      <c r="E507" s="51"/>
      <c r="F507" s="51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9"/>
      <c r="R507" s="11"/>
      <c r="S507" s="11"/>
      <c r="T507" s="11"/>
      <c r="U507" s="11"/>
      <c r="V507" s="9"/>
      <c r="W507" s="11"/>
      <c r="X507" s="11"/>
      <c r="Y507" s="52"/>
      <c r="Z507" s="11"/>
      <c r="AA507" s="11"/>
      <c r="AB507" s="11"/>
      <c r="AC507" s="11"/>
      <c r="AD507" s="11"/>
      <c r="AE507" s="11"/>
      <c r="AF507" s="11"/>
      <c r="AG507" s="10"/>
      <c r="AH507" s="10"/>
      <c r="AI507" s="10"/>
      <c r="AJ507" s="11"/>
      <c r="AK507" s="11"/>
      <c r="AM507" s="11"/>
      <c r="AN507" s="11"/>
      <c r="AO507" s="11"/>
      <c r="AP507" s="11"/>
      <c r="AQ507" s="11"/>
      <c r="AR507" s="11"/>
      <c r="AS507" s="11"/>
    </row>
    <row r="508" spans="1:45" x14ac:dyDescent="0.25">
      <c r="A508" s="11"/>
      <c r="B508" s="51" t="s">
        <v>1082</v>
      </c>
      <c r="C508" s="11"/>
      <c r="D508" s="51"/>
      <c r="E508" s="51"/>
      <c r="F508" s="51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9"/>
      <c r="R508" s="11"/>
      <c r="S508" s="11"/>
      <c r="T508" s="11"/>
      <c r="U508" s="11"/>
      <c r="V508" s="9"/>
      <c r="W508" s="11"/>
      <c r="X508" s="11"/>
      <c r="Y508" s="52"/>
      <c r="Z508" s="11"/>
      <c r="AA508" s="11"/>
      <c r="AB508" s="11"/>
      <c r="AC508" s="11"/>
      <c r="AD508" s="11"/>
      <c r="AE508" s="11"/>
      <c r="AF508" s="11"/>
      <c r="AG508" s="10"/>
      <c r="AH508" s="10"/>
      <c r="AI508" s="10"/>
      <c r="AJ508" s="11"/>
      <c r="AK508" s="11"/>
      <c r="AM508" s="11"/>
      <c r="AN508" s="11"/>
      <c r="AO508" s="11"/>
      <c r="AP508" s="11"/>
      <c r="AQ508" s="11"/>
      <c r="AR508" s="11"/>
      <c r="AS508" s="11"/>
    </row>
    <row r="509" spans="1:45" x14ac:dyDescent="0.25">
      <c r="A509" s="11"/>
      <c r="B509" s="51" t="s">
        <v>1082</v>
      </c>
      <c r="C509" s="11"/>
      <c r="D509" s="51"/>
      <c r="E509" s="51"/>
      <c r="F509" s="51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9"/>
      <c r="R509" s="11"/>
      <c r="S509" s="11"/>
      <c r="T509" s="11"/>
      <c r="U509" s="11"/>
      <c r="V509" s="9"/>
      <c r="W509" s="11"/>
      <c r="X509" s="11"/>
      <c r="Y509" s="52"/>
      <c r="Z509" s="11"/>
      <c r="AA509" s="11"/>
      <c r="AB509" s="11"/>
      <c r="AC509" s="11"/>
      <c r="AD509" s="11"/>
      <c r="AE509" s="11"/>
      <c r="AF509" s="11"/>
      <c r="AG509" s="10"/>
      <c r="AH509" s="10"/>
      <c r="AI509" s="10"/>
      <c r="AJ509" s="11"/>
      <c r="AK509" s="11"/>
      <c r="AM509" s="11"/>
      <c r="AN509" s="11"/>
      <c r="AO509" s="11"/>
      <c r="AP509" s="11"/>
      <c r="AQ509" s="11"/>
      <c r="AR509" s="11"/>
      <c r="AS509" s="11"/>
    </row>
    <row r="510" spans="1:45" x14ac:dyDescent="0.25">
      <c r="A510" s="11"/>
      <c r="B510" s="51" t="s">
        <v>1082</v>
      </c>
      <c r="C510" s="11"/>
      <c r="D510" s="51"/>
      <c r="E510" s="51"/>
      <c r="F510" s="51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9"/>
      <c r="R510" s="11"/>
      <c r="S510" s="11"/>
      <c r="T510" s="11"/>
      <c r="U510" s="11"/>
      <c r="V510" s="9"/>
      <c r="W510" s="11"/>
      <c r="X510" s="11"/>
      <c r="Y510" s="52"/>
      <c r="Z510" s="11"/>
      <c r="AA510" s="11"/>
      <c r="AB510" s="11"/>
      <c r="AC510" s="11"/>
      <c r="AD510" s="11"/>
      <c r="AE510" s="11"/>
      <c r="AF510" s="11"/>
      <c r="AG510" s="10"/>
      <c r="AH510" s="10"/>
      <c r="AI510" s="10"/>
      <c r="AJ510" s="11"/>
      <c r="AK510" s="11"/>
      <c r="AM510" s="11"/>
      <c r="AN510" s="11"/>
      <c r="AO510" s="11"/>
      <c r="AP510" s="11"/>
      <c r="AQ510" s="11"/>
      <c r="AR510" s="11"/>
      <c r="AS510" s="11"/>
    </row>
    <row r="511" spans="1:45" x14ac:dyDescent="0.25">
      <c r="A511" s="11"/>
      <c r="B511" s="51" t="s">
        <v>1082</v>
      </c>
      <c r="C511" s="11"/>
      <c r="D511" s="51"/>
      <c r="E511" s="51"/>
      <c r="F511" s="51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9"/>
      <c r="R511" s="11"/>
      <c r="S511" s="11"/>
      <c r="T511" s="11"/>
      <c r="U511" s="11"/>
      <c r="V511" s="9"/>
      <c r="W511" s="11"/>
      <c r="X511" s="11"/>
      <c r="Y511" s="52"/>
      <c r="Z511" s="11"/>
      <c r="AA511" s="11"/>
      <c r="AB511" s="11"/>
      <c r="AC511" s="11"/>
      <c r="AD511" s="11"/>
      <c r="AE511" s="11"/>
      <c r="AF511" s="11"/>
      <c r="AG511" s="10"/>
      <c r="AH511" s="10"/>
      <c r="AI511" s="10"/>
      <c r="AJ511" s="11"/>
      <c r="AK511" s="11"/>
      <c r="AM511" s="11"/>
      <c r="AN511" s="11"/>
      <c r="AO511" s="11"/>
      <c r="AP511" s="11"/>
      <c r="AQ511" s="11"/>
      <c r="AR511" s="11"/>
      <c r="AS511" s="11"/>
    </row>
    <row r="512" spans="1:45" x14ac:dyDescent="0.25">
      <c r="A512" s="11"/>
      <c r="B512" s="51" t="s">
        <v>1082</v>
      </c>
      <c r="C512" s="11"/>
      <c r="D512" s="51"/>
      <c r="E512" s="51"/>
      <c r="F512" s="51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9"/>
      <c r="R512" s="11"/>
      <c r="S512" s="11"/>
      <c r="T512" s="11"/>
      <c r="U512" s="11"/>
      <c r="V512" s="9"/>
      <c r="W512" s="11"/>
      <c r="X512" s="11"/>
      <c r="Y512" s="52"/>
      <c r="Z512" s="11"/>
      <c r="AA512" s="11"/>
      <c r="AB512" s="11"/>
      <c r="AC512" s="11"/>
      <c r="AD512" s="11"/>
      <c r="AE512" s="11"/>
      <c r="AF512" s="11"/>
      <c r="AG512" s="10"/>
      <c r="AH512" s="10"/>
      <c r="AI512" s="10"/>
      <c r="AJ512" s="11"/>
      <c r="AK512" s="11"/>
      <c r="AM512" s="11"/>
      <c r="AN512" s="11"/>
      <c r="AO512" s="11"/>
      <c r="AP512" s="11"/>
      <c r="AQ512" s="11"/>
      <c r="AR512" s="11"/>
      <c r="AS512" s="11"/>
    </row>
    <row r="513" spans="1:45" x14ac:dyDescent="0.25">
      <c r="A513" s="11"/>
      <c r="B513" s="51" t="s">
        <v>1082</v>
      </c>
      <c r="C513" s="11"/>
      <c r="D513" s="51"/>
      <c r="E513" s="51"/>
      <c r="F513" s="51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9"/>
      <c r="R513" s="11"/>
      <c r="S513" s="11"/>
      <c r="T513" s="11"/>
      <c r="U513" s="11"/>
      <c r="V513" s="9"/>
      <c r="W513" s="11"/>
      <c r="X513" s="11"/>
      <c r="Y513" s="52"/>
      <c r="Z513" s="11"/>
      <c r="AA513" s="11"/>
      <c r="AB513" s="11"/>
      <c r="AC513" s="11"/>
      <c r="AD513" s="11"/>
      <c r="AE513" s="11"/>
      <c r="AF513" s="11"/>
      <c r="AG513" s="10"/>
      <c r="AH513" s="10"/>
      <c r="AI513" s="10"/>
      <c r="AJ513" s="11"/>
      <c r="AK513" s="11"/>
      <c r="AM513" s="11"/>
      <c r="AN513" s="11"/>
      <c r="AO513" s="11"/>
      <c r="AP513" s="11"/>
      <c r="AQ513" s="11"/>
      <c r="AR513" s="11"/>
      <c r="AS513" s="11"/>
    </row>
    <row r="514" spans="1:45" x14ac:dyDescent="0.25">
      <c r="A514" s="11"/>
      <c r="B514" s="51" t="s">
        <v>1082</v>
      </c>
      <c r="C514" s="11"/>
      <c r="D514" s="51"/>
      <c r="E514" s="51"/>
      <c r="F514" s="51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9"/>
      <c r="R514" s="11"/>
      <c r="S514" s="11"/>
      <c r="T514" s="11"/>
      <c r="U514" s="11"/>
      <c r="V514" s="9"/>
      <c r="W514" s="11"/>
      <c r="X514" s="11"/>
      <c r="Y514" s="52"/>
      <c r="Z514" s="11"/>
      <c r="AA514" s="11"/>
      <c r="AB514" s="11"/>
      <c r="AC514" s="11"/>
      <c r="AD514" s="11"/>
      <c r="AE514" s="11"/>
      <c r="AF514" s="11"/>
      <c r="AG514" s="10"/>
      <c r="AH514" s="10"/>
      <c r="AI514" s="10"/>
      <c r="AJ514" s="11"/>
      <c r="AK514" s="11"/>
      <c r="AM514" s="11"/>
      <c r="AN514" s="11"/>
      <c r="AO514" s="11"/>
      <c r="AP514" s="11"/>
      <c r="AQ514" s="11"/>
      <c r="AR514" s="11"/>
      <c r="AS514" s="11"/>
    </row>
    <row r="515" spans="1:45" x14ac:dyDescent="0.25">
      <c r="A515" s="11"/>
      <c r="B515" s="51" t="s">
        <v>1082</v>
      </c>
      <c r="C515" s="11"/>
      <c r="D515" s="51"/>
      <c r="E515" s="51"/>
      <c r="F515" s="51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9"/>
      <c r="R515" s="11"/>
      <c r="S515" s="11"/>
      <c r="T515" s="11"/>
      <c r="U515" s="11"/>
      <c r="V515" s="9"/>
      <c r="W515" s="11"/>
      <c r="X515" s="11"/>
      <c r="Y515" s="52"/>
      <c r="Z515" s="11"/>
      <c r="AA515" s="11"/>
      <c r="AB515" s="11"/>
      <c r="AC515" s="11"/>
      <c r="AD515" s="11"/>
      <c r="AE515" s="11"/>
      <c r="AF515" s="11"/>
      <c r="AG515" s="10"/>
      <c r="AH515" s="10"/>
      <c r="AI515" s="10"/>
      <c r="AJ515" s="11"/>
      <c r="AK515" s="11"/>
      <c r="AM515" s="11"/>
      <c r="AN515" s="11"/>
      <c r="AO515" s="11"/>
      <c r="AP515" s="11"/>
      <c r="AQ515" s="11"/>
      <c r="AR515" s="11"/>
      <c r="AS515" s="11"/>
    </row>
    <row r="516" spans="1:45" x14ac:dyDescent="0.25">
      <c r="A516" s="11"/>
      <c r="B516" s="51" t="s">
        <v>1082</v>
      </c>
      <c r="C516" s="11"/>
      <c r="D516" s="51"/>
      <c r="E516" s="51"/>
      <c r="F516" s="51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9"/>
      <c r="R516" s="11"/>
      <c r="S516" s="11"/>
      <c r="T516" s="11"/>
      <c r="U516" s="11"/>
      <c r="V516" s="9"/>
      <c r="W516" s="11"/>
      <c r="X516" s="11"/>
      <c r="Y516" s="52"/>
      <c r="Z516" s="11"/>
      <c r="AA516" s="11"/>
      <c r="AB516" s="11"/>
      <c r="AC516" s="11"/>
      <c r="AD516" s="11"/>
      <c r="AE516" s="11"/>
      <c r="AF516" s="11"/>
      <c r="AG516" s="10"/>
      <c r="AH516" s="10"/>
      <c r="AI516" s="10"/>
      <c r="AJ516" s="11"/>
      <c r="AK516" s="11"/>
      <c r="AM516" s="11"/>
      <c r="AN516" s="11"/>
      <c r="AO516" s="11"/>
      <c r="AP516" s="11"/>
      <c r="AQ516" s="11"/>
      <c r="AR516" s="11"/>
      <c r="AS516" s="11"/>
    </row>
    <row r="517" spans="1:45" x14ac:dyDescent="0.25">
      <c r="A517" s="11"/>
      <c r="B517" s="51" t="s">
        <v>1082</v>
      </c>
      <c r="C517" s="11"/>
      <c r="D517" s="51"/>
      <c r="E517" s="51"/>
      <c r="F517" s="51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9"/>
      <c r="R517" s="11"/>
      <c r="S517" s="11"/>
      <c r="T517" s="11"/>
      <c r="U517" s="11"/>
      <c r="V517" s="9"/>
      <c r="W517" s="11"/>
      <c r="X517" s="11"/>
      <c r="Y517" s="52"/>
      <c r="Z517" s="11"/>
      <c r="AA517" s="11"/>
      <c r="AB517" s="11"/>
      <c r="AC517" s="11"/>
      <c r="AD517" s="11"/>
      <c r="AE517" s="11"/>
      <c r="AF517" s="11"/>
      <c r="AG517" s="10"/>
      <c r="AH517" s="10"/>
      <c r="AI517" s="10"/>
      <c r="AJ517" s="11"/>
      <c r="AK517" s="11"/>
      <c r="AM517" s="11"/>
      <c r="AN517" s="11"/>
      <c r="AO517" s="11"/>
      <c r="AP517" s="11"/>
      <c r="AQ517" s="11"/>
      <c r="AR517" s="11"/>
      <c r="AS517" s="11"/>
    </row>
    <row r="518" spans="1:45" x14ac:dyDescent="0.25">
      <c r="A518" s="11"/>
      <c r="B518" s="51" t="s">
        <v>1082</v>
      </c>
      <c r="C518" s="11"/>
      <c r="D518" s="51"/>
      <c r="E518" s="51"/>
      <c r="F518" s="51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9"/>
      <c r="R518" s="11"/>
      <c r="S518" s="11"/>
      <c r="T518" s="11"/>
      <c r="U518" s="11"/>
      <c r="V518" s="9"/>
      <c r="W518" s="11"/>
      <c r="X518" s="11"/>
      <c r="Y518" s="52"/>
      <c r="Z518" s="11"/>
      <c r="AA518" s="11"/>
      <c r="AB518" s="11"/>
      <c r="AC518" s="11"/>
      <c r="AD518" s="11"/>
      <c r="AE518" s="11"/>
      <c r="AF518" s="11"/>
      <c r="AG518" s="10"/>
      <c r="AH518" s="10"/>
      <c r="AI518" s="10"/>
      <c r="AJ518" s="11"/>
      <c r="AK518" s="11"/>
      <c r="AM518" s="11"/>
      <c r="AN518" s="11"/>
      <c r="AO518" s="11"/>
      <c r="AP518" s="11"/>
      <c r="AQ518" s="11"/>
      <c r="AR518" s="11"/>
      <c r="AS518" s="11"/>
    </row>
    <row r="519" spans="1:45" x14ac:dyDescent="0.25">
      <c r="A519" s="11"/>
      <c r="B519" s="51" t="s">
        <v>1082</v>
      </c>
      <c r="C519" s="11"/>
      <c r="D519" s="51"/>
      <c r="E519" s="51"/>
      <c r="F519" s="51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9"/>
      <c r="R519" s="11"/>
      <c r="S519" s="11"/>
      <c r="T519" s="11"/>
      <c r="U519" s="11"/>
      <c r="V519" s="9"/>
      <c r="W519" s="11"/>
      <c r="X519" s="11"/>
      <c r="Y519" s="52"/>
      <c r="Z519" s="11"/>
      <c r="AA519" s="11"/>
      <c r="AB519" s="11"/>
      <c r="AC519" s="11"/>
      <c r="AD519" s="11"/>
      <c r="AE519" s="11"/>
      <c r="AF519" s="11"/>
      <c r="AG519" s="10"/>
      <c r="AH519" s="10"/>
      <c r="AI519" s="10"/>
      <c r="AJ519" s="11"/>
      <c r="AK519" s="11"/>
      <c r="AM519" s="11"/>
      <c r="AN519" s="11"/>
      <c r="AO519" s="11"/>
      <c r="AP519" s="11"/>
      <c r="AQ519" s="11"/>
      <c r="AR519" s="11"/>
      <c r="AS519" s="11"/>
    </row>
    <row r="520" spans="1:45" x14ac:dyDescent="0.25">
      <c r="A520" s="11"/>
      <c r="B520" s="51" t="s">
        <v>1082</v>
      </c>
      <c r="C520" s="11"/>
      <c r="D520" s="51"/>
      <c r="E520" s="51"/>
      <c r="F520" s="51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9"/>
      <c r="R520" s="11"/>
      <c r="S520" s="11"/>
      <c r="T520" s="11"/>
      <c r="U520" s="11"/>
      <c r="V520" s="9"/>
      <c r="W520" s="11"/>
      <c r="X520" s="11"/>
      <c r="Y520" s="52"/>
      <c r="Z520" s="11"/>
      <c r="AA520" s="11"/>
      <c r="AB520" s="11"/>
      <c r="AC520" s="11"/>
      <c r="AD520" s="11"/>
      <c r="AE520" s="11"/>
      <c r="AF520" s="11"/>
      <c r="AG520" s="10"/>
      <c r="AH520" s="10"/>
      <c r="AI520" s="10"/>
      <c r="AJ520" s="11"/>
      <c r="AK520" s="11"/>
      <c r="AM520" s="11"/>
      <c r="AN520" s="11"/>
      <c r="AO520" s="11"/>
      <c r="AP520" s="11"/>
      <c r="AQ520" s="11"/>
      <c r="AR520" s="11"/>
      <c r="AS520" s="11"/>
    </row>
    <row r="521" spans="1:45" x14ac:dyDescent="0.25">
      <c r="A521" s="11"/>
      <c r="B521" s="51" t="s">
        <v>1082</v>
      </c>
      <c r="C521" s="11"/>
      <c r="D521" s="51"/>
      <c r="E521" s="51"/>
      <c r="F521" s="5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9"/>
      <c r="R521" s="11"/>
      <c r="S521" s="11"/>
      <c r="T521" s="11"/>
      <c r="U521" s="11"/>
      <c r="V521" s="9"/>
      <c r="W521" s="11"/>
      <c r="X521" s="11"/>
      <c r="Y521" s="52"/>
      <c r="Z521" s="11"/>
      <c r="AA521" s="11"/>
      <c r="AB521" s="11"/>
      <c r="AC521" s="11"/>
      <c r="AD521" s="11"/>
      <c r="AE521" s="11"/>
      <c r="AF521" s="11"/>
      <c r="AG521" s="10"/>
      <c r="AH521" s="10"/>
      <c r="AI521" s="10"/>
      <c r="AJ521" s="11"/>
      <c r="AK521" s="11"/>
      <c r="AM521" s="11"/>
      <c r="AN521" s="11"/>
      <c r="AO521" s="11"/>
      <c r="AP521" s="11"/>
      <c r="AQ521" s="11"/>
      <c r="AR521" s="11"/>
      <c r="AS521" s="11"/>
    </row>
    <row r="522" spans="1:45" x14ac:dyDescent="0.25">
      <c r="A522" s="11"/>
      <c r="B522" s="51" t="s">
        <v>1082</v>
      </c>
      <c r="C522" s="11"/>
      <c r="D522" s="51"/>
      <c r="E522" s="51"/>
      <c r="F522" s="51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9"/>
      <c r="R522" s="11"/>
      <c r="S522" s="11"/>
      <c r="T522" s="11"/>
      <c r="U522" s="11"/>
      <c r="V522" s="9"/>
      <c r="W522" s="11"/>
      <c r="X522" s="11"/>
      <c r="Y522" s="52"/>
      <c r="Z522" s="11"/>
      <c r="AA522" s="11"/>
      <c r="AB522" s="11"/>
      <c r="AC522" s="11"/>
      <c r="AD522" s="11"/>
      <c r="AE522" s="11"/>
      <c r="AF522" s="11"/>
      <c r="AG522" s="10"/>
      <c r="AH522" s="10"/>
      <c r="AI522" s="10"/>
      <c r="AJ522" s="11"/>
      <c r="AK522" s="11"/>
      <c r="AM522" s="11"/>
      <c r="AN522" s="11"/>
      <c r="AO522" s="11"/>
      <c r="AP522" s="11"/>
      <c r="AQ522" s="11"/>
      <c r="AR522" s="11"/>
      <c r="AS522" s="11"/>
    </row>
    <row r="523" spans="1:45" x14ac:dyDescent="0.25">
      <c r="A523" s="11"/>
      <c r="B523" s="51" t="s">
        <v>1082</v>
      </c>
      <c r="C523" s="11"/>
      <c r="D523" s="51"/>
      <c r="E523" s="51"/>
      <c r="F523" s="51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9"/>
      <c r="R523" s="11"/>
      <c r="S523" s="11"/>
      <c r="T523" s="11"/>
      <c r="U523" s="11"/>
      <c r="V523" s="9"/>
      <c r="W523" s="11"/>
      <c r="X523" s="11"/>
      <c r="Y523" s="52"/>
      <c r="Z523" s="11"/>
      <c r="AA523" s="11"/>
      <c r="AB523" s="11"/>
      <c r="AC523" s="11"/>
      <c r="AD523" s="11"/>
      <c r="AE523" s="11"/>
      <c r="AF523" s="11"/>
      <c r="AG523" s="10"/>
      <c r="AH523" s="10"/>
      <c r="AI523" s="10"/>
      <c r="AJ523" s="11"/>
      <c r="AK523" s="11"/>
      <c r="AM523" s="11"/>
      <c r="AN523" s="11"/>
      <c r="AO523" s="11"/>
      <c r="AP523" s="11"/>
      <c r="AQ523" s="11"/>
      <c r="AR523" s="11"/>
      <c r="AS523" s="11"/>
    </row>
    <row r="524" spans="1:45" x14ac:dyDescent="0.25">
      <c r="A524" s="11"/>
      <c r="B524" s="51" t="s">
        <v>1082</v>
      </c>
      <c r="C524" s="11"/>
      <c r="D524" s="51"/>
      <c r="E524" s="51"/>
      <c r="F524" s="51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9"/>
      <c r="R524" s="11"/>
      <c r="S524" s="11"/>
      <c r="T524" s="11"/>
      <c r="U524" s="11"/>
      <c r="V524" s="9"/>
      <c r="W524" s="11"/>
      <c r="X524" s="11"/>
      <c r="Y524" s="52"/>
      <c r="Z524" s="11"/>
      <c r="AA524" s="11"/>
      <c r="AB524" s="11"/>
      <c r="AC524" s="11"/>
      <c r="AD524" s="11"/>
      <c r="AE524" s="11"/>
      <c r="AF524" s="11"/>
      <c r="AG524" s="10"/>
      <c r="AH524" s="10"/>
      <c r="AI524" s="10"/>
      <c r="AJ524" s="11"/>
      <c r="AK524" s="11"/>
      <c r="AM524" s="11"/>
      <c r="AN524" s="11"/>
      <c r="AO524" s="11"/>
      <c r="AP524" s="11"/>
      <c r="AQ524" s="11"/>
      <c r="AR524" s="11"/>
      <c r="AS524" s="11"/>
    </row>
    <row r="525" spans="1:45" x14ac:dyDescent="0.25">
      <c r="A525" s="11"/>
      <c r="B525" s="51" t="s">
        <v>1082</v>
      </c>
      <c r="C525" s="11"/>
      <c r="D525" s="51"/>
      <c r="E525" s="51"/>
      <c r="F525" s="51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9"/>
      <c r="R525" s="11"/>
      <c r="S525" s="11"/>
      <c r="T525" s="11"/>
      <c r="U525" s="11"/>
      <c r="V525" s="9"/>
      <c r="W525" s="11"/>
      <c r="X525" s="11"/>
      <c r="Y525" s="52"/>
      <c r="Z525" s="11"/>
      <c r="AA525" s="11"/>
      <c r="AB525" s="11"/>
      <c r="AC525" s="11"/>
      <c r="AD525" s="11"/>
      <c r="AE525" s="11"/>
      <c r="AF525" s="11"/>
      <c r="AG525" s="10"/>
      <c r="AH525" s="10"/>
      <c r="AI525" s="10"/>
      <c r="AJ525" s="11"/>
      <c r="AK525" s="11"/>
      <c r="AM525" s="11"/>
      <c r="AN525" s="11"/>
      <c r="AO525" s="11"/>
      <c r="AP525" s="11"/>
      <c r="AQ525" s="11"/>
      <c r="AR525" s="11"/>
      <c r="AS525" s="11"/>
    </row>
    <row r="526" spans="1:45" x14ac:dyDescent="0.25">
      <c r="A526" s="11"/>
      <c r="B526" s="51" t="s">
        <v>1082</v>
      </c>
      <c r="C526" s="11"/>
      <c r="D526" s="51"/>
      <c r="E526" s="51"/>
      <c r="F526" s="51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9"/>
      <c r="R526" s="11"/>
      <c r="S526" s="11"/>
      <c r="T526" s="11"/>
      <c r="U526" s="11"/>
      <c r="V526" s="9"/>
      <c r="W526" s="11"/>
      <c r="X526" s="11"/>
      <c r="Y526" s="52"/>
      <c r="Z526" s="11"/>
      <c r="AA526" s="11"/>
      <c r="AB526" s="11"/>
      <c r="AC526" s="11"/>
      <c r="AD526" s="11"/>
      <c r="AE526" s="11"/>
      <c r="AF526" s="11"/>
      <c r="AG526" s="10"/>
      <c r="AH526" s="10"/>
      <c r="AI526" s="10"/>
      <c r="AJ526" s="11"/>
      <c r="AK526" s="11"/>
      <c r="AM526" s="11"/>
      <c r="AN526" s="11"/>
      <c r="AO526" s="11"/>
      <c r="AP526" s="11"/>
      <c r="AQ526" s="11"/>
      <c r="AR526" s="11"/>
      <c r="AS526" s="11"/>
    </row>
    <row r="527" spans="1:45" x14ac:dyDescent="0.25">
      <c r="A527" s="11"/>
      <c r="B527" s="51" t="s">
        <v>1082</v>
      </c>
      <c r="C527" s="11"/>
      <c r="D527" s="51"/>
      <c r="E527" s="51"/>
      <c r="F527" s="51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9"/>
      <c r="R527" s="11"/>
      <c r="S527" s="11"/>
      <c r="T527" s="11"/>
      <c r="U527" s="11"/>
      <c r="V527" s="9"/>
      <c r="W527" s="11"/>
      <c r="X527" s="11"/>
      <c r="Y527" s="52"/>
      <c r="Z527" s="11"/>
      <c r="AA527" s="11"/>
      <c r="AB527" s="11"/>
      <c r="AC527" s="11"/>
      <c r="AD527" s="11"/>
      <c r="AE527" s="11"/>
      <c r="AF527" s="11"/>
      <c r="AG527" s="10"/>
      <c r="AH527" s="10"/>
      <c r="AI527" s="10"/>
      <c r="AJ527" s="11"/>
      <c r="AK527" s="11"/>
      <c r="AM527" s="11"/>
      <c r="AN527" s="11"/>
      <c r="AO527" s="11"/>
      <c r="AP527" s="11"/>
      <c r="AQ527" s="11"/>
      <c r="AR527" s="11"/>
      <c r="AS527" s="11"/>
    </row>
    <row r="528" spans="1:45" x14ac:dyDescent="0.25">
      <c r="A528" s="11"/>
      <c r="B528" s="51" t="s">
        <v>1082</v>
      </c>
      <c r="C528" s="11"/>
      <c r="D528" s="51"/>
      <c r="E528" s="51"/>
      <c r="F528" s="51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9"/>
      <c r="R528" s="11"/>
      <c r="S528" s="11"/>
      <c r="T528" s="11"/>
      <c r="U528" s="11"/>
      <c r="V528" s="9"/>
      <c r="W528" s="11"/>
      <c r="X528" s="11"/>
      <c r="Y528" s="52"/>
      <c r="Z528" s="11"/>
      <c r="AA528" s="11"/>
      <c r="AB528" s="11"/>
      <c r="AC528" s="11"/>
      <c r="AD528" s="11"/>
      <c r="AE528" s="11"/>
      <c r="AF528" s="11"/>
      <c r="AG528" s="10"/>
      <c r="AH528" s="10"/>
      <c r="AI528" s="10"/>
      <c r="AJ528" s="11"/>
      <c r="AK528" s="11"/>
      <c r="AM528" s="11"/>
      <c r="AN528" s="11"/>
      <c r="AO528" s="11"/>
      <c r="AP528" s="11"/>
      <c r="AQ528" s="11"/>
      <c r="AR528" s="11"/>
      <c r="AS528" s="11"/>
    </row>
    <row r="529" spans="1:45" x14ac:dyDescent="0.25">
      <c r="A529" s="11"/>
      <c r="B529" s="51" t="s">
        <v>1082</v>
      </c>
      <c r="C529" s="11"/>
      <c r="D529" s="51"/>
      <c r="E529" s="51"/>
      <c r="F529" s="51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9"/>
      <c r="R529" s="11"/>
      <c r="S529" s="11"/>
      <c r="T529" s="11"/>
      <c r="U529" s="11"/>
      <c r="V529" s="9"/>
      <c r="W529" s="11"/>
      <c r="X529" s="11"/>
      <c r="Y529" s="52"/>
      <c r="Z529" s="11"/>
      <c r="AA529" s="11"/>
      <c r="AB529" s="11"/>
      <c r="AC529" s="11"/>
      <c r="AD529" s="11"/>
      <c r="AE529" s="11"/>
      <c r="AF529" s="11"/>
      <c r="AG529" s="10"/>
      <c r="AH529" s="10"/>
      <c r="AI529" s="10"/>
      <c r="AJ529" s="11"/>
      <c r="AK529" s="11"/>
      <c r="AM529" s="11"/>
      <c r="AN529" s="11"/>
      <c r="AO529" s="11"/>
      <c r="AP529" s="11"/>
      <c r="AQ529" s="11"/>
      <c r="AR529" s="11"/>
      <c r="AS529" s="11"/>
    </row>
    <row r="530" spans="1:45" x14ac:dyDescent="0.25">
      <c r="A530" s="11"/>
      <c r="B530" s="51" t="s">
        <v>1082</v>
      </c>
      <c r="C530" s="11"/>
      <c r="D530" s="51"/>
      <c r="E530" s="51"/>
      <c r="F530" s="51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9"/>
      <c r="R530" s="11"/>
      <c r="S530" s="11"/>
      <c r="T530" s="11"/>
      <c r="U530" s="11"/>
      <c r="V530" s="9"/>
      <c r="W530" s="11"/>
      <c r="X530" s="11"/>
      <c r="Y530" s="52"/>
      <c r="Z530" s="11"/>
      <c r="AA530" s="11"/>
      <c r="AB530" s="11"/>
      <c r="AC530" s="11"/>
      <c r="AD530" s="11"/>
      <c r="AE530" s="11"/>
      <c r="AF530" s="11"/>
      <c r="AG530" s="10"/>
      <c r="AH530" s="10"/>
      <c r="AI530" s="10"/>
      <c r="AJ530" s="11"/>
      <c r="AK530" s="11"/>
      <c r="AM530" s="11"/>
      <c r="AN530" s="11"/>
      <c r="AO530" s="11"/>
      <c r="AP530" s="11"/>
      <c r="AQ530" s="11"/>
      <c r="AR530" s="11"/>
      <c r="AS530" s="11"/>
    </row>
    <row r="531" spans="1:45" x14ac:dyDescent="0.25">
      <c r="A531" s="11"/>
      <c r="B531" s="51" t="s">
        <v>1082</v>
      </c>
      <c r="C531" s="11"/>
      <c r="D531" s="51"/>
      <c r="E531" s="51"/>
      <c r="F531" s="51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9"/>
      <c r="R531" s="11"/>
      <c r="S531" s="11"/>
      <c r="T531" s="11"/>
      <c r="U531" s="11"/>
      <c r="V531" s="9"/>
      <c r="W531" s="11"/>
      <c r="X531" s="11"/>
      <c r="Y531" s="52"/>
      <c r="Z531" s="11"/>
      <c r="AA531" s="11"/>
      <c r="AB531" s="11"/>
      <c r="AC531" s="11"/>
      <c r="AD531" s="11"/>
      <c r="AE531" s="11"/>
      <c r="AF531" s="11"/>
      <c r="AG531" s="10"/>
      <c r="AH531" s="10"/>
      <c r="AI531" s="10"/>
      <c r="AJ531" s="11"/>
      <c r="AK531" s="11"/>
      <c r="AM531" s="11"/>
      <c r="AN531" s="11"/>
      <c r="AO531" s="11"/>
      <c r="AP531" s="11"/>
      <c r="AQ531" s="11"/>
      <c r="AR531" s="11"/>
      <c r="AS531" s="11"/>
    </row>
    <row r="532" spans="1:45" x14ac:dyDescent="0.25">
      <c r="A532" s="11"/>
      <c r="B532" s="51" t="s">
        <v>1082</v>
      </c>
      <c r="C532" s="11"/>
      <c r="D532" s="51"/>
      <c r="E532" s="51"/>
      <c r="F532" s="51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9"/>
      <c r="R532" s="11"/>
      <c r="S532" s="11"/>
      <c r="T532" s="11"/>
      <c r="U532" s="11"/>
      <c r="V532" s="9"/>
      <c r="W532" s="11"/>
      <c r="X532" s="11"/>
      <c r="Y532" s="52"/>
      <c r="Z532" s="11"/>
      <c r="AA532" s="11"/>
      <c r="AB532" s="11"/>
      <c r="AC532" s="11"/>
      <c r="AD532" s="11"/>
      <c r="AE532" s="11"/>
      <c r="AF532" s="11"/>
      <c r="AG532" s="10"/>
      <c r="AH532" s="10"/>
      <c r="AI532" s="10"/>
      <c r="AJ532" s="11"/>
      <c r="AK532" s="11"/>
      <c r="AM532" s="11"/>
      <c r="AN532" s="11"/>
      <c r="AO532" s="11"/>
      <c r="AP532" s="11"/>
      <c r="AQ532" s="11"/>
      <c r="AR532" s="11"/>
      <c r="AS532" s="11"/>
    </row>
    <row r="533" spans="1:45" x14ac:dyDescent="0.25">
      <c r="A533" s="11"/>
      <c r="B533" s="51" t="s">
        <v>1082</v>
      </c>
      <c r="C533" s="11"/>
      <c r="D533" s="51"/>
      <c r="E533" s="51"/>
      <c r="F533" s="51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9"/>
      <c r="R533" s="11"/>
      <c r="S533" s="11"/>
      <c r="T533" s="11"/>
      <c r="U533" s="11"/>
      <c r="V533" s="9"/>
      <c r="W533" s="11"/>
      <c r="X533" s="11"/>
      <c r="Y533" s="52"/>
      <c r="Z533" s="11"/>
      <c r="AA533" s="11"/>
      <c r="AB533" s="11"/>
      <c r="AC533" s="11"/>
      <c r="AD533" s="11"/>
      <c r="AE533" s="11"/>
      <c r="AF533" s="11"/>
      <c r="AG533" s="10"/>
      <c r="AH533" s="10"/>
      <c r="AI533" s="10"/>
      <c r="AJ533" s="11"/>
      <c r="AK533" s="11"/>
      <c r="AM533" s="11"/>
      <c r="AN533" s="11"/>
      <c r="AO533" s="11"/>
      <c r="AP533" s="11"/>
      <c r="AQ533" s="11"/>
      <c r="AR533" s="11"/>
      <c r="AS533" s="11"/>
    </row>
    <row r="534" spans="1:45" x14ac:dyDescent="0.25">
      <c r="A534" s="11"/>
      <c r="B534" s="51" t="s">
        <v>1082</v>
      </c>
      <c r="C534" s="11"/>
      <c r="D534" s="51"/>
      <c r="E534" s="51"/>
      <c r="F534" s="51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9"/>
      <c r="R534" s="11"/>
      <c r="S534" s="11"/>
      <c r="T534" s="11"/>
      <c r="U534" s="11"/>
      <c r="V534" s="9"/>
      <c r="W534" s="11"/>
      <c r="X534" s="11"/>
      <c r="Y534" s="52"/>
      <c r="Z534" s="11"/>
      <c r="AA534" s="11"/>
      <c r="AB534" s="11"/>
      <c r="AC534" s="11"/>
      <c r="AD534" s="11"/>
      <c r="AE534" s="11"/>
      <c r="AF534" s="11"/>
      <c r="AG534" s="10"/>
      <c r="AH534" s="10"/>
      <c r="AI534" s="10"/>
      <c r="AJ534" s="11"/>
      <c r="AK534" s="11"/>
      <c r="AM534" s="11"/>
      <c r="AN534" s="11"/>
      <c r="AO534" s="11"/>
      <c r="AP534" s="11"/>
      <c r="AQ534" s="11"/>
      <c r="AR534" s="11"/>
      <c r="AS534" s="11"/>
    </row>
    <row r="535" spans="1:45" x14ac:dyDescent="0.25">
      <c r="A535" s="11"/>
      <c r="B535" s="51" t="s">
        <v>1082</v>
      </c>
      <c r="C535" s="11"/>
      <c r="D535" s="51"/>
      <c r="E535" s="51"/>
      <c r="F535" s="51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9"/>
      <c r="R535" s="11"/>
      <c r="S535" s="11"/>
      <c r="T535" s="11"/>
      <c r="U535" s="11"/>
      <c r="V535" s="9"/>
      <c r="W535" s="11"/>
      <c r="X535" s="11"/>
      <c r="Y535" s="52"/>
      <c r="Z535" s="11"/>
      <c r="AA535" s="11"/>
      <c r="AB535" s="11"/>
      <c r="AC535" s="11"/>
      <c r="AD535" s="11"/>
      <c r="AE535" s="11"/>
      <c r="AF535" s="11"/>
      <c r="AG535" s="10"/>
      <c r="AH535" s="10"/>
      <c r="AI535" s="10"/>
      <c r="AJ535" s="11"/>
      <c r="AK535" s="11"/>
      <c r="AM535" s="11"/>
      <c r="AN535" s="11"/>
      <c r="AO535" s="11"/>
      <c r="AP535" s="11"/>
      <c r="AQ535" s="11"/>
      <c r="AR535" s="11"/>
      <c r="AS535" s="11"/>
    </row>
    <row r="536" spans="1:45" x14ac:dyDescent="0.25">
      <c r="A536" s="11"/>
      <c r="B536" s="51" t="s">
        <v>1082</v>
      </c>
      <c r="C536" s="11"/>
      <c r="D536" s="51"/>
      <c r="E536" s="51"/>
      <c r="F536" s="51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9"/>
      <c r="R536" s="11"/>
      <c r="S536" s="11"/>
      <c r="T536" s="11"/>
      <c r="U536" s="11"/>
      <c r="V536" s="9"/>
      <c r="W536" s="11"/>
      <c r="X536" s="11"/>
      <c r="Y536" s="52"/>
      <c r="Z536" s="11"/>
      <c r="AA536" s="11"/>
      <c r="AB536" s="11"/>
      <c r="AC536" s="11"/>
      <c r="AD536" s="11"/>
      <c r="AE536" s="11"/>
      <c r="AF536" s="11"/>
      <c r="AG536" s="10"/>
      <c r="AH536" s="10"/>
      <c r="AI536" s="10"/>
      <c r="AJ536" s="11"/>
      <c r="AK536" s="11"/>
      <c r="AM536" s="11"/>
      <c r="AN536" s="11"/>
      <c r="AO536" s="11"/>
      <c r="AP536" s="11"/>
      <c r="AQ536" s="11"/>
      <c r="AR536" s="11"/>
      <c r="AS536" s="11"/>
    </row>
    <row r="537" spans="1:45" x14ac:dyDescent="0.25">
      <c r="A537" s="11"/>
      <c r="B537" s="51" t="s">
        <v>1082</v>
      </c>
      <c r="C537" s="11"/>
      <c r="D537" s="51"/>
      <c r="E537" s="51"/>
      <c r="F537" s="51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9"/>
      <c r="R537" s="11"/>
      <c r="S537" s="11"/>
      <c r="T537" s="11"/>
      <c r="U537" s="11"/>
      <c r="V537" s="9"/>
      <c r="W537" s="11"/>
      <c r="X537" s="11"/>
      <c r="Y537" s="52"/>
      <c r="Z537" s="11"/>
      <c r="AA537" s="11"/>
      <c r="AB537" s="11"/>
      <c r="AC537" s="11"/>
      <c r="AD537" s="11"/>
      <c r="AE537" s="11"/>
      <c r="AF537" s="11"/>
      <c r="AG537" s="10"/>
      <c r="AH537" s="10"/>
      <c r="AI537" s="10"/>
      <c r="AJ537" s="11"/>
      <c r="AK537" s="11"/>
      <c r="AM537" s="11"/>
      <c r="AN537" s="11"/>
      <c r="AO537" s="11"/>
      <c r="AP537" s="11"/>
      <c r="AQ537" s="11"/>
      <c r="AR537" s="11"/>
      <c r="AS537" s="11"/>
    </row>
    <row r="538" spans="1:45" x14ac:dyDescent="0.25">
      <c r="A538" s="11"/>
      <c r="B538" s="51" t="s">
        <v>1082</v>
      </c>
      <c r="C538" s="11"/>
      <c r="D538" s="51"/>
      <c r="E538" s="51"/>
      <c r="F538" s="51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9"/>
      <c r="R538" s="11"/>
      <c r="S538" s="11"/>
      <c r="T538" s="11"/>
      <c r="U538" s="11"/>
      <c r="V538" s="9"/>
      <c r="W538" s="11"/>
      <c r="X538" s="11"/>
      <c r="Y538" s="52"/>
      <c r="Z538" s="11"/>
      <c r="AA538" s="11"/>
      <c r="AB538" s="11"/>
      <c r="AC538" s="11"/>
      <c r="AD538" s="11"/>
      <c r="AE538" s="11"/>
      <c r="AF538" s="11"/>
      <c r="AG538" s="10"/>
      <c r="AH538" s="10"/>
      <c r="AI538" s="10"/>
      <c r="AJ538" s="11"/>
      <c r="AK538" s="11"/>
      <c r="AM538" s="11"/>
      <c r="AN538" s="11"/>
      <c r="AO538" s="11"/>
      <c r="AP538" s="11"/>
      <c r="AQ538" s="11"/>
      <c r="AR538" s="11"/>
      <c r="AS538" s="11"/>
    </row>
    <row r="539" spans="1:45" x14ac:dyDescent="0.25">
      <c r="A539" s="11"/>
      <c r="B539" s="51" t="s">
        <v>1082</v>
      </c>
      <c r="C539" s="11"/>
      <c r="D539" s="51"/>
      <c r="E539" s="51"/>
      <c r="F539" s="51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9"/>
      <c r="R539" s="11"/>
      <c r="S539" s="11"/>
      <c r="T539" s="11"/>
      <c r="U539" s="11"/>
      <c r="V539" s="9"/>
      <c r="W539" s="11"/>
      <c r="X539" s="11"/>
      <c r="Y539" s="52"/>
      <c r="Z539" s="11"/>
      <c r="AA539" s="11"/>
      <c r="AB539" s="11"/>
      <c r="AC539" s="11"/>
      <c r="AD539" s="11"/>
      <c r="AE539" s="11"/>
      <c r="AF539" s="11"/>
      <c r="AG539" s="10"/>
      <c r="AH539" s="10"/>
      <c r="AI539" s="10"/>
      <c r="AJ539" s="11"/>
      <c r="AK539" s="11"/>
      <c r="AM539" s="11"/>
      <c r="AN539" s="11"/>
      <c r="AO539" s="11"/>
      <c r="AP539" s="11"/>
      <c r="AQ539" s="11"/>
      <c r="AR539" s="11"/>
      <c r="AS539" s="11"/>
    </row>
    <row r="540" spans="1:45" x14ac:dyDescent="0.25">
      <c r="A540" s="11"/>
      <c r="B540" s="51" t="s">
        <v>1082</v>
      </c>
      <c r="C540" s="11"/>
      <c r="D540" s="51"/>
      <c r="E540" s="51"/>
      <c r="F540" s="51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9"/>
      <c r="R540" s="11"/>
      <c r="S540" s="11"/>
      <c r="T540" s="11"/>
      <c r="U540" s="11"/>
      <c r="V540" s="9"/>
      <c r="W540" s="11"/>
      <c r="X540" s="11"/>
      <c r="Y540" s="52"/>
      <c r="Z540" s="11"/>
      <c r="AA540" s="11"/>
      <c r="AB540" s="11"/>
      <c r="AC540" s="11"/>
      <c r="AD540" s="11"/>
      <c r="AE540" s="11"/>
      <c r="AF540" s="11"/>
      <c r="AG540" s="10"/>
      <c r="AH540" s="10"/>
      <c r="AI540" s="10"/>
      <c r="AJ540" s="11"/>
      <c r="AK540" s="11"/>
      <c r="AM540" s="11"/>
      <c r="AN540" s="11"/>
      <c r="AO540" s="11"/>
      <c r="AP540" s="11"/>
      <c r="AQ540" s="11"/>
      <c r="AR540" s="11"/>
      <c r="AS540" s="11"/>
    </row>
    <row r="541" spans="1:45" x14ac:dyDescent="0.25">
      <c r="A541" s="11"/>
      <c r="B541" s="51" t="s">
        <v>1082</v>
      </c>
      <c r="C541" s="11"/>
      <c r="D541" s="51"/>
      <c r="E541" s="51"/>
      <c r="F541" s="5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9"/>
      <c r="R541" s="11"/>
      <c r="S541" s="11"/>
      <c r="T541" s="11"/>
      <c r="U541" s="11"/>
      <c r="V541" s="9"/>
      <c r="W541" s="11"/>
      <c r="X541" s="11"/>
      <c r="Y541" s="52"/>
      <c r="Z541" s="11"/>
      <c r="AA541" s="11"/>
      <c r="AB541" s="11"/>
      <c r="AC541" s="11"/>
      <c r="AD541" s="11"/>
      <c r="AE541" s="11"/>
      <c r="AF541" s="11"/>
      <c r="AG541" s="10"/>
      <c r="AH541" s="10"/>
      <c r="AI541" s="10"/>
      <c r="AJ541" s="11"/>
      <c r="AK541" s="11"/>
      <c r="AM541" s="11"/>
      <c r="AN541" s="11"/>
      <c r="AO541" s="11"/>
      <c r="AP541" s="11"/>
      <c r="AQ541" s="11"/>
      <c r="AR541" s="11"/>
      <c r="AS541" s="11"/>
    </row>
    <row r="542" spans="1:45" x14ac:dyDescent="0.25">
      <c r="A542" s="11"/>
      <c r="B542" s="51" t="s">
        <v>1082</v>
      </c>
      <c r="C542" s="11"/>
      <c r="D542" s="51"/>
      <c r="E542" s="51"/>
      <c r="F542" s="51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9"/>
      <c r="R542" s="11"/>
      <c r="S542" s="11"/>
      <c r="T542" s="11"/>
      <c r="U542" s="11"/>
      <c r="V542" s="9"/>
      <c r="W542" s="11"/>
      <c r="X542" s="11"/>
      <c r="Y542" s="52"/>
      <c r="Z542" s="11"/>
      <c r="AA542" s="11"/>
      <c r="AB542" s="11"/>
      <c r="AC542" s="11"/>
      <c r="AD542" s="11"/>
      <c r="AE542" s="11"/>
      <c r="AF542" s="11"/>
      <c r="AG542" s="10"/>
      <c r="AH542" s="10"/>
      <c r="AI542" s="10"/>
      <c r="AJ542" s="11"/>
      <c r="AK542" s="11"/>
      <c r="AM542" s="11"/>
      <c r="AN542" s="11"/>
      <c r="AO542" s="11"/>
      <c r="AP542" s="11"/>
      <c r="AQ542" s="11"/>
      <c r="AR542" s="11"/>
      <c r="AS542" s="11"/>
    </row>
    <row r="543" spans="1:45" x14ac:dyDescent="0.25">
      <c r="A543" s="11"/>
      <c r="B543" s="51" t="s">
        <v>1082</v>
      </c>
      <c r="C543" s="11"/>
      <c r="D543" s="51"/>
      <c r="E543" s="51"/>
      <c r="F543" s="51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9"/>
      <c r="R543" s="11"/>
      <c r="S543" s="11"/>
      <c r="T543" s="11"/>
      <c r="U543" s="11"/>
      <c r="V543" s="9"/>
      <c r="W543" s="11"/>
      <c r="X543" s="11"/>
      <c r="Y543" s="52"/>
      <c r="Z543" s="11"/>
      <c r="AA543" s="11"/>
      <c r="AB543" s="11"/>
      <c r="AC543" s="11"/>
      <c r="AD543" s="11"/>
      <c r="AE543" s="11"/>
      <c r="AF543" s="11"/>
      <c r="AG543" s="10"/>
      <c r="AH543" s="10"/>
      <c r="AI543" s="10"/>
      <c r="AJ543" s="11"/>
      <c r="AK543" s="11"/>
      <c r="AM543" s="11"/>
      <c r="AN543" s="11"/>
      <c r="AO543" s="11"/>
      <c r="AP543" s="11"/>
      <c r="AQ543" s="11"/>
      <c r="AR543" s="11"/>
      <c r="AS543" s="11"/>
    </row>
    <row r="544" spans="1:45" x14ac:dyDescent="0.25">
      <c r="A544" s="11"/>
      <c r="B544" s="51" t="s">
        <v>1082</v>
      </c>
      <c r="C544" s="11"/>
      <c r="D544" s="51"/>
      <c r="E544" s="51"/>
      <c r="F544" s="51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9"/>
      <c r="R544" s="11"/>
      <c r="S544" s="11"/>
      <c r="T544" s="11"/>
      <c r="U544" s="11"/>
      <c r="V544" s="9"/>
      <c r="W544" s="11"/>
      <c r="X544" s="11"/>
      <c r="Y544" s="52"/>
      <c r="Z544" s="11"/>
      <c r="AA544" s="11"/>
      <c r="AB544" s="11"/>
      <c r="AC544" s="11"/>
      <c r="AD544" s="11"/>
      <c r="AE544" s="11"/>
      <c r="AF544" s="11"/>
      <c r="AG544" s="10"/>
      <c r="AH544" s="10"/>
      <c r="AI544" s="10"/>
      <c r="AJ544" s="11"/>
      <c r="AK544" s="11"/>
      <c r="AM544" s="11"/>
      <c r="AN544" s="11"/>
      <c r="AO544" s="11"/>
      <c r="AP544" s="11"/>
      <c r="AQ544" s="11"/>
      <c r="AR544" s="11"/>
      <c r="AS544" s="11"/>
    </row>
    <row r="545" spans="1:45" x14ac:dyDescent="0.25">
      <c r="A545" s="11"/>
      <c r="B545" s="51" t="s">
        <v>1082</v>
      </c>
      <c r="C545" s="11"/>
      <c r="D545" s="51"/>
      <c r="E545" s="51"/>
      <c r="F545" s="51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9"/>
      <c r="R545" s="11"/>
      <c r="S545" s="11"/>
      <c r="T545" s="11"/>
      <c r="U545" s="11"/>
      <c r="V545" s="9"/>
      <c r="W545" s="11"/>
      <c r="X545" s="11"/>
      <c r="Y545" s="52"/>
      <c r="Z545" s="11"/>
      <c r="AA545" s="11"/>
      <c r="AB545" s="11"/>
      <c r="AC545" s="11"/>
      <c r="AD545" s="11"/>
      <c r="AE545" s="11"/>
      <c r="AF545" s="11"/>
      <c r="AG545" s="10"/>
      <c r="AH545" s="10"/>
      <c r="AI545" s="10"/>
      <c r="AJ545" s="11"/>
      <c r="AK545" s="11"/>
      <c r="AM545" s="11"/>
      <c r="AN545" s="11"/>
      <c r="AO545" s="11"/>
      <c r="AP545" s="11"/>
      <c r="AQ545" s="11"/>
      <c r="AR545" s="11"/>
      <c r="AS545" s="11"/>
    </row>
    <row r="546" spans="1:45" x14ac:dyDescent="0.25">
      <c r="A546" s="11"/>
      <c r="B546" s="51" t="s">
        <v>1082</v>
      </c>
      <c r="C546" s="11"/>
      <c r="D546" s="51"/>
      <c r="E546" s="51"/>
      <c r="F546" s="51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9"/>
      <c r="R546" s="11"/>
      <c r="S546" s="11"/>
      <c r="T546" s="11"/>
      <c r="U546" s="11"/>
      <c r="V546" s="9"/>
      <c r="W546" s="11"/>
      <c r="X546" s="11"/>
      <c r="Y546" s="52"/>
      <c r="Z546" s="11"/>
      <c r="AA546" s="11"/>
      <c r="AB546" s="11"/>
      <c r="AC546" s="11"/>
      <c r="AD546" s="11"/>
      <c r="AE546" s="11"/>
      <c r="AF546" s="11"/>
      <c r="AG546" s="10"/>
      <c r="AH546" s="10"/>
      <c r="AI546" s="10"/>
      <c r="AJ546" s="11"/>
      <c r="AK546" s="11"/>
      <c r="AM546" s="11"/>
      <c r="AN546" s="11"/>
      <c r="AO546" s="11"/>
      <c r="AP546" s="11"/>
      <c r="AQ546" s="11"/>
      <c r="AR546" s="11"/>
      <c r="AS546" s="11"/>
    </row>
    <row r="547" spans="1:45" x14ac:dyDescent="0.25">
      <c r="A547" s="11"/>
      <c r="B547" s="51" t="s">
        <v>1082</v>
      </c>
      <c r="C547" s="11"/>
      <c r="D547" s="51"/>
      <c r="E547" s="51"/>
      <c r="F547" s="51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9"/>
      <c r="R547" s="11"/>
      <c r="S547" s="11"/>
      <c r="T547" s="11"/>
      <c r="U547" s="11"/>
      <c r="V547" s="9"/>
      <c r="W547" s="11"/>
      <c r="X547" s="11"/>
      <c r="Y547" s="52"/>
      <c r="Z547" s="11"/>
      <c r="AA547" s="11"/>
      <c r="AB547" s="11"/>
      <c r="AC547" s="11"/>
      <c r="AD547" s="11"/>
      <c r="AE547" s="11"/>
      <c r="AF547" s="11"/>
      <c r="AG547" s="10"/>
      <c r="AH547" s="10"/>
      <c r="AI547" s="10"/>
      <c r="AJ547" s="11"/>
      <c r="AK547" s="11"/>
      <c r="AM547" s="11"/>
      <c r="AN547" s="11"/>
      <c r="AO547" s="11"/>
      <c r="AP547" s="11"/>
      <c r="AQ547" s="11"/>
      <c r="AR547" s="11"/>
      <c r="AS547" s="11"/>
    </row>
    <row r="548" spans="1:45" x14ac:dyDescent="0.25">
      <c r="A548" s="11"/>
      <c r="B548" s="51" t="s">
        <v>1082</v>
      </c>
      <c r="C548" s="11"/>
      <c r="D548" s="51"/>
      <c r="E548" s="51"/>
      <c r="F548" s="51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9"/>
      <c r="R548" s="11"/>
      <c r="S548" s="11"/>
      <c r="T548" s="11"/>
      <c r="U548" s="11"/>
      <c r="V548" s="9"/>
      <c r="W548" s="11"/>
      <c r="X548" s="11"/>
      <c r="Y548" s="52"/>
      <c r="Z548" s="11"/>
      <c r="AA548" s="11"/>
      <c r="AB548" s="11"/>
      <c r="AC548" s="11"/>
      <c r="AD548" s="11"/>
      <c r="AE548" s="11"/>
      <c r="AF548" s="11"/>
      <c r="AG548" s="10"/>
      <c r="AH548" s="10"/>
      <c r="AI548" s="10"/>
      <c r="AJ548" s="11"/>
      <c r="AK548" s="11"/>
      <c r="AM548" s="11"/>
      <c r="AN548" s="11"/>
      <c r="AO548" s="11"/>
      <c r="AP548" s="11"/>
      <c r="AQ548" s="11"/>
      <c r="AR548" s="11"/>
      <c r="AS548" s="11"/>
    </row>
    <row r="549" spans="1:45" x14ac:dyDescent="0.25">
      <c r="A549" s="11"/>
      <c r="B549" s="51" t="s">
        <v>1082</v>
      </c>
      <c r="C549" s="11"/>
      <c r="D549" s="51"/>
      <c r="E549" s="51"/>
      <c r="F549" s="51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9"/>
      <c r="R549" s="11"/>
      <c r="S549" s="11"/>
      <c r="T549" s="11"/>
      <c r="U549" s="11"/>
      <c r="V549" s="9"/>
      <c r="W549" s="11"/>
      <c r="X549" s="11"/>
      <c r="Y549" s="52"/>
      <c r="Z549" s="11"/>
      <c r="AA549" s="11"/>
      <c r="AB549" s="11"/>
      <c r="AC549" s="11"/>
      <c r="AD549" s="11"/>
      <c r="AE549" s="11"/>
      <c r="AF549" s="11"/>
      <c r="AG549" s="10"/>
      <c r="AH549" s="10"/>
      <c r="AI549" s="10"/>
      <c r="AJ549" s="11"/>
      <c r="AK549" s="11"/>
      <c r="AM549" s="11"/>
      <c r="AN549" s="11"/>
      <c r="AO549" s="11"/>
      <c r="AP549" s="11"/>
      <c r="AQ549" s="11"/>
      <c r="AR549" s="11"/>
      <c r="AS549" s="11"/>
    </row>
    <row r="550" spans="1:45" x14ac:dyDescent="0.25">
      <c r="A550" s="11"/>
      <c r="B550" s="51" t="s">
        <v>1082</v>
      </c>
      <c r="C550" s="11"/>
      <c r="D550" s="51"/>
      <c r="E550" s="51"/>
      <c r="F550" s="51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9"/>
      <c r="R550" s="11"/>
      <c r="S550" s="11"/>
      <c r="T550" s="11"/>
      <c r="U550" s="11"/>
      <c r="V550" s="9"/>
      <c r="W550" s="11"/>
      <c r="X550" s="11"/>
      <c r="Y550" s="52"/>
      <c r="Z550" s="11"/>
      <c r="AA550" s="11"/>
      <c r="AB550" s="11"/>
      <c r="AC550" s="11"/>
      <c r="AD550" s="11"/>
      <c r="AE550" s="11"/>
      <c r="AF550" s="11"/>
      <c r="AG550" s="10"/>
      <c r="AH550" s="10"/>
      <c r="AI550" s="10"/>
      <c r="AJ550" s="11"/>
      <c r="AK550" s="11"/>
      <c r="AM550" s="11"/>
      <c r="AN550" s="11"/>
      <c r="AO550" s="11"/>
      <c r="AP550" s="11"/>
      <c r="AQ550" s="11"/>
      <c r="AR550" s="11"/>
      <c r="AS550" s="11"/>
    </row>
    <row r="551" spans="1:45" x14ac:dyDescent="0.25">
      <c r="A551" s="11"/>
      <c r="B551" s="51" t="s">
        <v>1082</v>
      </c>
      <c r="C551" s="11"/>
      <c r="D551" s="51"/>
      <c r="E551" s="51"/>
      <c r="F551" s="51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9"/>
      <c r="R551" s="11"/>
      <c r="S551" s="11"/>
      <c r="T551" s="11"/>
      <c r="U551" s="11"/>
      <c r="V551" s="9"/>
      <c r="W551" s="11"/>
      <c r="X551" s="11"/>
      <c r="Y551" s="52"/>
      <c r="Z551" s="11"/>
      <c r="AA551" s="11"/>
      <c r="AB551" s="11"/>
      <c r="AC551" s="11"/>
      <c r="AD551" s="11"/>
      <c r="AE551" s="11"/>
      <c r="AF551" s="11"/>
      <c r="AG551" s="10"/>
      <c r="AH551" s="10"/>
      <c r="AI551" s="10"/>
      <c r="AJ551" s="11"/>
      <c r="AK551" s="11"/>
      <c r="AM551" s="11"/>
      <c r="AN551" s="11"/>
      <c r="AO551" s="11"/>
      <c r="AP551" s="11"/>
      <c r="AQ551" s="11"/>
      <c r="AR551" s="11"/>
      <c r="AS551" s="11"/>
    </row>
    <row r="552" spans="1:45" x14ac:dyDescent="0.25">
      <c r="A552" s="11"/>
      <c r="B552" s="51" t="s">
        <v>1082</v>
      </c>
      <c r="C552" s="11"/>
      <c r="D552" s="51"/>
      <c r="E552" s="51"/>
      <c r="F552" s="51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9"/>
      <c r="R552" s="11"/>
      <c r="S552" s="11"/>
      <c r="T552" s="11"/>
      <c r="U552" s="11"/>
      <c r="V552" s="9"/>
      <c r="W552" s="11"/>
      <c r="X552" s="11"/>
      <c r="Y552" s="52"/>
      <c r="Z552" s="11"/>
      <c r="AA552" s="11"/>
      <c r="AB552" s="11"/>
      <c r="AC552" s="11"/>
      <c r="AD552" s="11"/>
      <c r="AE552" s="11"/>
      <c r="AF552" s="11"/>
      <c r="AG552" s="10"/>
      <c r="AH552" s="10"/>
      <c r="AI552" s="10"/>
      <c r="AJ552" s="11"/>
      <c r="AK552" s="11"/>
      <c r="AM552" s="11"/>
      <c r="AN552" s="11"/>
      <c r="AO552" s="11"/>
      <c r="AP552" s="11"/>
      <c r="AQ552" s="11"/>
      <c r="AR552" s="11"/>
      <c r="AS552" s="11"/>
    </row>
    <row r="553" spans="1:45" x14ac:dyDescent="0.25">
      <c r="A553" s="11"/>
      <c r="B553" s="51" t="s">
        <v>1082</v>
      </c>
      <c r="C553" s="11"/>
      <c r="D553" s="51"/>
      <c r="E553" s="51"/>
      <c r="F553" s="51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9"/>
      <c r="R553" s="11"/>
      <c r="S553" s="11"/>
      <c r="T553" s="11"/>
      <c r="U553" s="11"/>
      <c r="V553" s="9"/>
      <c r="W553" s="11"/>
      <c r="X553" s="11"/>
      <c r="Y553" s="52"/>
      <c r="Z553" s="11"/>
      <c r="AA553" s="11"/>
      <c r="AB553" s="11"/>
      <c r="AC553" s="11"/>
      <c r="AD553" s="11"/>
      <c r="AE553" s="11"/>
      <c r="AF553" s="11"/>
      <c r="AG553" s="10"/>
      <c r="AH553" s="10"/>
      <c r="AI553" s="10"/>
      <c r="AJ553" s="11"/>
      <c r="AK553" s="11"/>
      <c r="AM553" s="11"/>
      <c r="AN553" s="11"/>
      <c r="AO553" s="11"/>
      <c r="AP553" s="11"/>
      <c r="AQ553" s="11"/>
      <c r="AR553" s="11"/>
      <c r="AS553" s="11"/>
    </row>
    <row r="554" spans="1:45" x14ac:dyDescent="0.25">
      <c r="A554" s="11"/>
      <c r="B554" s="51" t="s">
        <v>1082</v>
      </c>
      <c r="C554" s="11"/>
      <c r="D554" s="51"/>
      <c r="E554" s="51"/>
      <c r="F554" s="51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9"/>
      <c r="R554" s="11"/>
      <c r="S554" s="11"/>
      <c r="T554" s="11"/>
      <c r="U554" s="11"/>
      <c r="V554" s="9"/>
      <c r="W554" s="11"/>
      <c r="X554" s="11"/>
      <c r="Y554" s="52"/>
      <c r="Z554" s="11"/>
      <c r="AA554" s="11"/>
      <c r="AB554" s="11"/>
      <c r="AC554" s="11"/>
      <c r="AD554" s="11"/>
      <c r="AE554" s="11"/>
      <c r="AF554" s="11"/>
      <c r="AG554" s="10"/>
      <c r="AH554" s="10"/>
      <c r="AI554" s="10"/>
      <c r="AJ554" s="11"/>
      <c r="AK554" s="11"/>
      <c r="AM554" s="11"/>
      <c r="AN554" s="11"/>
      <c r="AO554" s="11"/>
      <c r="AP554" s="11"/>
      <c r="AQ554" s="11"/>
      <c r="AR554" s="11"/>
      <c r="AS554" s="11"/>
    </row>
    <row r="555" spans="1:45" x14ac:dyDescent="0.25">
      <c r="A555" s="11"/>
      <c r="B555" s="51" t="s">
        <v>1082</v>
      </c>
      <c r="C555" s="11"/>
      <c r="D555" s="51"/>
      <c r="E555" s="51"/>
      <c r="F555" s="51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9"/>
      <c r="R555" s="11"/>
      <c r="S555" s="11"/>
      <c r="T555" s="11"/>
      <c r="U555" s="11"/>
      <c r="V555" s="9"/>
      <c r="W555" s="11"/>
      <c r="X555" s="11"/>
      <c r="Y555" s="52"/>
      <c r="Z555" s="11"/>
      <c r="AA555" s="11"/>
      <c r="AB555" s="11"/>
      <c r="AC555" s="11"/>
      <c r="AD555" s="11"/>
      <c r="AE555" s="11"/>
      <c r="AF555" s="11"/>
      <c r="AG555" s="10"/>
      <c r="AH555" s="10"/>
      <c r="AI555" s="10"/>
      <c r="AJ555" s="11"/>
      <c r="AK555" s="11"/>
      <c r="AM555" s="11"/>
      <c r="AN555" s="11"/>
      <c r="AO555" s="11"/>
      <c r="AP555" s="11"/>
      <c r="AQ555" s="11"/>
      <c r="AR555" s="11"/>
      <c r="AS555" s="11"/>
    </row>
    <row r="556" spans="1:45" x14ac:dyDescent="0.25">
      <c r="A556" s="11"/>
      <c r="B556" s="51" t="s">
        <v>1082</v>
      </c>
      <c r="C556" s="11"/>
      <c r="D556" s="51"/>
      <c r="E556" s="51"/>
      <c r="F556" s="51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9"/>
      <c r="R556" s="11"/>
      <c r="S556" s="11"/>
      <c r="T556" s="11"/>
      <c r="U556" s="11"/>
      <c r="V556" s="9"/>
      <c r="W556" s="11"/>
      <c r="X556" s="11"/>
      <c r="Y556" s="52"/>
      <c r="Z556" s="11"/>
      <c r="AA556" s="11"/>
      <c r="AB556" s="11"/>
      <c r="AC556" s="11"/>
      <c r="AD556" s="11"/>
      <c r="AE556" s="11"/>
      <c r="AF556" s="11"/>
      <c r="AG556" s="10"/>
      <c r="AH556" s="10"/>
      <c r="AI556" s="10"/>
      <c r="AJ556" s="11"/>
      <c r="AK556" s="11"/>
      <c r="AM556" s="11"/>
      <c r="AN556" s="11"/>
      <c r="AO556" s="11"/>
      <c r="AP556" s="11"/>
      <c r="AQ556" s="11"/>
      <c r="AR556" s="11"/>
      <c r="AS556" s="11"/>
    </row>
    <row r="557" spans="1:45" x14ac:dyDescent="0.25">
      <c r="A557" s="11"/>
      <c r="B557" s="51" t="s">
        <v>1082</v>
      </c>
      <c r="C557" s="11"/>
      <c r="D557" s="51"/>
      <c r="E557" s="51"/>
      <c r="F557" s="51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9"/>
      <c r="R557" s="11"/>
      <c r="S557" s="11"/>
      <c r="T557" s="11"/>
      <c r="U557" s="11"/>
      <c r="V557" s="9"/>
      <c r="W557" s="11"/>
      <c r="X557" s="11"/>
      <c r="Y557" s="52"/>
      <c r="Z557" s="11"/>
      <c r="AA557" s="11"/>
      <c r="AB557" s="11"/>
      <c r="AC557" s="11"/>
      <c r="AD557" s="11"/>
      <c r="AE557" s="11"/>
      <c r="AF557" s="11"/>
      <c r="AG557" s="10"/>
      <c r="AH557" s="10"/>
      <c r="AI557" s="10"/>
      <c r="AJ557" s="11"/>
      <c r="AK557" s="11"/>
      <c r="AM557" s="11"/>
      <c r="AN557" s="11"/>
      <c r="AO557" s="11"/>
      <c r="AP557" s="11"/>
      <c r="AQ557" s="11"/>
      <c r="AR557" s="11"/>
      <c r="AS557" s="11"/>
    </row>
    <row r="558" spans="1:45" x14ac:dyDescent="0.25">
      <c r="A558" s="11"/>
      <c r="B558" s="51" t="s">
        <v>1082</v>
      </c>
      <c r="C558" s="11"/>
      <c r="D558" s="51"/>
      <c r="E558" s="51"/>
      <c r="F558" s="51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9"/>
      <c r="R558" s="11"/>
      <c r="S558" s="11"/>
      <c r="T558" s="11"/>
      <c r="U558" s="11"/>
      <c r="V558" s="9"/>
      <c r="W558" s="11"/>
      <c r="X558" s="11"/>
      <c r="Y558" s="52"/>
      <c r="Z558" s="11"/>
      <c r="AA558" s="11"/>
      <c r="AB558" s="11"/>
      <c r="AC558" s="11"/>
      <c r="AD558" s="11"/>
      <c r="AE558" s="11"/>
      <c r="AF558" s="11"/>
      <c r="AG558" s="10"/>
      <c r="AH558" s="10"/>
      <c r="AI558" s="10"/>
      <c r="AJ558" s="11"/>
      <c r="AK558" s="11"/>
      <c r="AM558" s="11"/>
      <c r="AN558" s="11"/>
      <c r="AO558" s="11"/>
      <c r="AP558" s="11"/>
      <c r="AQ558" s="11"/>
      <c r="AR558" s="11"/>
      <c r="AS558" s="11"/>
    </row>
    <row r="559" spans="1:45" x14ac:dyDescent="0.25">
      <c r="A559" s="11"/>
      <c r="B559" s="51" t="s">
        <v>1082</v>
      </c>
      <c r="C559" s="11"/>
      <c r="D559" s="51"/>
      <c r="E559" s="51"/>
      <c r="F559" s="51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9"/>
      <c r="R559" s="11"/>
      <c r="S559" s="11"/>
      <c r="T559" s="11"/>
      <c r="U559" s="11"/>
      <c r="V559" s="9"/>
      <c r="W559" s="11"/>
      <c r="X559" s="11"/>
      <c r="Y559" s="52"/>
      <c r="Z559" s="11"/>
      <c r="AA559" s="11"/>
      <c r="AB559" s="11"/>
      <c r="AC559" s="11"/>
      <c r="AD559" s="11"/>
      <c r="AE559" s="11"/>
      <c r="AF559" s="11"/>
      <c r="AG559" s="10"/>
      <c r="AH559" s="10"/>
      <c r="AI559" s="10"/>
      <c r="AJ559" s="11"/>
      <c r="AK559" s="11"/>
      <c r="AM559" s="11"/>
      <c r="AN559" s="11"/>
      <c r="AO559" s="11"/>
      <c r="AP559" s="11"/>
      <c r="AQ559" s="11"/>
      <c r="AR559" s="11"/>
      <c r="AS559" s="11"/>
    </row>
    <row r="560" spans="1:45" x14ac:dyDescent="0.25">
      <c r="A560" s="11"/>
      <c r="B560" s="51" t="s">
        <v>1082</v>
      </c>
      <c r="C560" s="11"/>
      <c r="D560" s="51"/>
      <c r="E560" s="51"/>
      <c r="F560" s="51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9"/>
      <c r="R560" s="11"/>
      <c r="S560" s="11"/>
      <c r="T560" s="11"/>
      <c r="U560" s="11"/>
      <c r="V560" s="9"/>
      <c r="W560" s="11"/>
      <c r="X560" s="11"/>
      <c r="Y560" s="52"/>
      <c r="Z560" s="11"/>
      <c r="AA560" s="11"/>
      <c r="AB560" s="11"/>
      <c r="AC560" s="11"/>
      <c r="AD560" s="11"/>
      <c r="AE560" s="11"/>
      <c r="AF560" s="11"/>
      <c r="AG560" s="10"/>
      <c r="AH560" s="10"/>
      <c r="AI560" s="10"/>
      <c r="AJ560" s="11"/>
      <c r="AK560" s="11"/>
      <c r="AM560" s="11"/>
      <c r="AN560" s="11"/>
      <c r="AO560" s="11"/>
      <c r="AP560" s="11"/>
      <c r="AQ560" s="11"/>
      <c r="AR560" s="11"/>
      <c r="AS560" s="11"/>
    </row>
    <row r="561" spans="1:45" x14ac:dyDescent="0.25">
      <c r="A561" s="11"/>
      <c r="B561" s="51" t="s">
        <v>1082</v>
      </c>
      <c r="C561" s="11"/>
      <c r="D561" s="51"/>
      <c r="E561" s="51"/>
      <c r="F561" s="5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9"/>
      <c r="R561" s="11"/>
      <c r="S561" s="11"/>
      <c r="T561" s="11"/>
      <c r="U561" s="11"/>
      <c r="V561" s="9"/>
      <c r="W561" s="11"/>
      <c r="X561" s="11"/>
      <c r="Y561" s="52"/>
      <c r="Z561" s="11"/>
      <c r="AA561" s="11"/>
      <c r="AB561" s="11"/>
      <c r="AC561" s="11"/>
      <c r="AD561" s="11"/>
      <c r="AE561" s="11"/>
      <c r="AF561" s="11"/>
      <c r="AG561" s="10"/>
      <c r="AH561" s="10"/>
      <c r="AI561" s="10"/>
      <c r="AJ561" s="11"/>
      <c r="AK561" s="11"/>
      <c r="AM561" s="11"/>
      <c r="AN561" s="11"/>
      <c r="AO561" s="11"/>
      <c r="AP561" s="11"/>
      <c r="AQ561" s="11"/>
      <c r="AR561" s="11"/>
      <c r="AS561" s="11"/>
    </row>
    <row r="562" spans="1:45" x14ac:dyDescent="0.25">
      <c r="A562" s="11"/>
      <c r="B562" s="51" t="s">
        <v>1082</v>
      </c>
      <c r="C562" s="11"/>
      <c r="D562" s="51"/>
      <c r="E562" s="51"/>
      <c r="F562" s="51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9"/>
      <c r="R562" s="11"/>
      <c r="S562" s="11"/>
      <c r="T562" s="11"/>
      <c r="U562" s="11"/>
      <c r="V562" s="9"/>
      <c r="W562" s="11"/>
      <c r="X562" s="11"/>
      <c r="Y562" s="52"/>
      <c r="Z562" s="11"/>
      <c r="AA562" s="11"/>
      <c r="AB562" s="11"/>
      <c r="AC562" s="11"/>
      <c r="AD562" s="11"/>
      <c r="AE562" s="11"/>
      <c r="AF562" s="11"/>
      <c r="AG562" s="10"/>
      <c r="AH562" s="10"/>
      <c r="AI562" s="10"/>
      <c r="AJ562" s="11"/>
      <c r="AK562" s="11"/>
      <c r="AM562" s="11"/>
      <c r="AN562" s="11"/>
      <c r="AO562" s="11"/>
      <c r="AP562" s="11"/>
      <c r="AQ562" s="11"/>
      <c r="AR562" s="11"/>
      <c r="AS562" s="11"/>
    </row>
    <row r="563" spans="1:45" x14ac:dyDescent="0.25">
      <c r="A563" s="11"/>
      <c r="B563" s="51" t="s">
        <v>1082</v>
      </c>
      <c r="C563" s="11"/>
      <c r="D563" s="51"/>
      <c r="E563" s="51"/>
      <c r="F563" s="51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9"/>
      <c r="R563" s="11"/>
      <c r="S563" s="11"/>
      <c r="T563" s="11"/>
      <c r="U563" s="11"/>
      <c r="V563" s="9"/>
      <c r="W563" s="11"/>
      <c r="X563" s="11"/>
      <c r="Y563" s="52"/>
      <c r="Z563" s="11"/>
      <c r="AA563" s="11"/>
      <c r="AB563" s="11"/>
      <c r="AC563" s="11"/>
      <c r="AD563" s="11"/>
      <c r="AE563" s="11"/>
      <c r="AF563" s="11"/>
      <c r="AG563" s="10"/>
      <c r="AH563" s="10"/>
      <c r="AI563" s="10"/>
      <c r="AJ563" s="11"/>
      <c r="AK563" s="11"/>
      <c r="AM563" s="11"/>
      <c r="AN563" s="11"/>
      <c r="AO563" s="11"/>
      <c r="AP563" s="11"/>
      <c r="AQ563" s="11"/>
      <c r="AR563" s="11"/>
      <c r="AS563" s="11"/>
    </row>
    <row r="564" spans="1:45" x14ac:dyDescent="0.25">
      <c r="A564" s="11"/>
      <c r="B564" s="51" t="s">
        <v>1082</v>
      </c>
      <c r="C564" s="11"/>
      <c r="D564" s="51"/>
      <c r="E564" s="51"/>
      <c r="F564" s="51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9"/>
      <c r="R564" s="11"/>
      <c r="S564" s="11"/>
      <c r="T564" s="11"/>
      <c r="U564" s="11"/>
      <c r="V564" s="9"/>
      <c r="W564" s="11"/>
      <c r="X564" s="11"/>
      <c r="Y564" s="52"/>
      <c r="Z564" s="11"/>
      <c r="AA564" s="11"/>
      <c r="AB564" s="11"/>
      <c r="AC564" s="11"/>
      <c r="AD564" s="11"/>
      <c r="AE564" s="11"/>
      <c r="AF564" s="11"/>
      <c r="AG564" s="10"/>
      <c r="AH564" s="10"/>
      <c r="AI564" s="10"/>
      <c r="AJ564" s="11"/>
      <c r="AK564" s="11"/>
      <c r="AM564" s="11"/>
      <c r="AN564" s="11"/>
      <c r="AO564" s="11"/>
      <c r="AP564" s="11"/>
      <c r="AQ564" s="11"/>
      <c r="AR564" s="11"/>
      <c r="AS564" s="11"/>
    </row>
    <row r="565" spans="1:45" x14ac:dyDescent="0.25">
      <c r="A565" s="11"/>
      <c r="B565" s="51" t="s">
        <v>1082</v>
      </c>
      <c r="C565" s="11"/>
      <c r="D565" s="51"/>
      <c r="E565" s="51"/>
      <c r="F565" s="51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9"/>
      <c r="R565" s="11"/>
      <c r="S565" s="11"/>
      <c r="T565" s="11"/>
      <c r="U565" s="11"/>
      <c r="V565" s="9"/>
      <c r="W565" s="11"/>
      <c r="X565" s="11"/>
      <c r="Y565" s="52"/>
      <c r="Z565" s="11"/>
      <c r="AA565" s="11"/>
      <c r="AB565" s="11"/>
      <c r="AC565" s="11"/>
      <c r="AD565" s="11"/>
      <c r="AE565" s="11"/>
      <c r="AF565" s="11"/>
      <c r="AG565" s="10"/>
      <c r="AH565" s="10"/>
      <c r="AI565" s="10"/>
      <c r="AJ565" s="11"/>
      <c r="AK565" s="11"/>
      <c r="AM565" s="11"/>
      <c r="AN565" s="11"/>
      <c r="AO565" s="11"/>
      <c r="AP565" s="11"/>
      <c r="AQ565" s="11"/>
      <c r="AR565" s="11"/>
      <c r="AS565" s="11"/>
    </row>
    <row r="566" spans="1:45" x14ac:dyDescent="0.25">
      <c r="A566" s="11"/>
      <c r="B566" s="51" t="s">
        <v>1082</v>
      </c>
      <c r="C566" s="11"/>
      <c r="D566" s="51"/>
      <c r="E566" s="51"/>
      <c r="F566" s="51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9"/>
      <c r="R566" s="11"/>
      <c r="S566" s="11"/>
      <c r="T566" s="11"/>
      <c r="U566" s="11"/>
      <c r="V566" s="9"/>
      <c r="W566" s="11"/>
      <c r="X566" s="11"/>
      <c r="Y566" s="52"/>
      <c r="Z566" s="11"/>
      <c r="AA566" s="11"/>
      <c r="AB566" s="11"/>
      <c r="AC566" s="11"/>
      <c r="AD566" s="11"/>
      <c r="AE566" s="11"/>
      <c r="AF566" s="11"/>
      <c r="AG566" s="10"/>
      <c r="AH566" s="10"/>
      <c r="AI566" s="10"/>
      <c r="AJ566" s="11"/>
      <c r="AK566" s="11"/>
      <c r="AM566" s="11"/>
      <c r="AN566" s="11"/>
      <c r="AO566" s="11"/>
      <c r="AP566" s="11"/>
      <c r="AQ566" s="11"/>
      <c r="AR566" s="11"/>
      <c r="AS566" s="11"/>
    </row>
    <row r="567" spans="1:45" x14ac:dyDescent="0.25">
      <c r="A567" s="11"/>
      <c r="B567" s="51" t="s">
        <v>1082</v>
      </c>
      <c r="C567" s="11"/>
      <c r="D567" s="51"/>
      <c r="E567" s="51"/>
      <c r="F567" s="51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9"/>
      <c r="R567" s="11"/>
      <c r="S567" s="11"/>
      <c r="T567" s="11"/>
      <c r="U567" s="11"/>
      <c r="V567" s="9"/>
      <c r="W567" s="11"/>
      <c r="X567" s="11"/>
      <c r="Y567" s="52"/>
      <c r="Z567" s="11"/>
      <c r="AA567" s="11"/>
      <c r="AB567" s="11"/>
      <c r="AC567" s="11"/>
      <c r="AD567" s="11"/>
      <c r="AE567" s="11"/>
      <c r="AF567" s="11"/>
      <c r="AG567" s="10"/>
      <c r="AH567" s="10"/>
      <c r="AI567" s="10"/>
      <c r="AJ567" s="11"/>
      <c r="AK567" s="11"/>
      <c r="AM567" s="11"/>
      <c r="AN567" s="11"/>
      <c r="AO567" s="11"/>
      <c r="AP567" s="11"/>
      <c r="AQ567" s="11"/>
      <c r="AR567" s="11"/>
      <c r="AS567" s="11"/>
    </row>
    <row r="568" spans="1:45" x14ac:dyDescent="0.25">
      <c r="A568" s="11"/>
      <c r="B568" s="51" t="s">
        <v>1082</v>
      </c>
      <c r="C568" s="11"/>
      <c r="D568" s="51"/>
      <c r="E568" s="51"/>
      <c r="F568" s="51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9"/>
      <c r="R568" s="11"/>
      <c r="S568" s="11"/>
      <c r="T568" s="11"/>
      <c r="U568" s="11"/>
      <c r="V568" s="9"/>
      <c r="W568" s="11"/>
      <c r="X568" s="11"/>
      <c r="Y568" s="52"/>
      <c r="Z568" s="11"/>
      <c r="AA568" s="11"/>
      <c r="AB568" s="11"/>
      <c r="AC568" s="11"/>
      <c r="AD568" s="11"/>
      <c r="AE568" s="11"/>
      <c r="AF568" s="11"/>
      <c r="AG568" s="10"/>
      <c r="AH568" s="10"/>
      <c r="AI568" s="10"/>
      <c r="AJ568" s="11"/>
      <c r="AK568" s="11"/>
      <c r="AM568" s="11"/>
      <c r="AN568" s="11"/>
      <c r="AO568" s="11"/>
      <c r="AP568" s="11"/>
      <c r="AQ568" s="11"/>
      <c r="AR568" s="11"/>
      <c r="AS568" s="11"/>
    </row>
    <row r="569" spans="1:45" x14ac:dyDescent="0.25">
      <c r="A569" s="11"/>
      <c r="B569" s="51" t="s">
        <v>1082</v>
      </c>
      <c r="C569" s="11"/>
      <c r="D569" s="51"/>
      <c r="E569" s="51"/>
      <c r="F569" s="51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9"/>
      <c r="R569" s="11"/>
      <c r="S569" s="11"/>
      <c r="T569" s="11"/>
      <c r="U569" s="11"/>
      <c r="V569" s="9"/>
      <c r="W569" s="11"/>
      <c r="X569" s="11"/>
      <c r="Y569" s="52"/>
      <c r="Z569" s="11"/>
      <c r="AA569" s="11"/>
      <c r="AB569" s="11"/>
      <c r="AC569" s="11"/>
      <c r="AD569" s="11"/>
      <c r="AE569" s="11"/>
      <c r="AF569" s="11"/>
      <c r="AG569" s="10"/>
      <c r="AH569" s="10"/>
      <c r="AI569" s="10"/>
      <c r="AJ569" s="11"/>
      <c r="AK569" s="11"/>
      <c r="AM569" s="11"/>
      <c r="AN569" s="11"/>
      <c r="AO569" s="11"/>
      <c r="AP569" s="11"/>
      <c r="AQ569" s="11"/>
      <c r="AR569" s="11"/>
      <c r="AS569" s="11"/>
    </row>
    <row r="570" spans="1:45" x14ac:dyDescent="0.25">
      <c r="A570" s="11"/>
      <c r="B570" s="51" t="s">
        <v>1082</v>
      </c>
      <c r="C570" s="11"/>
      <c r="D570" s="51"/>
      <c r="E570" s="51"/>
      <c r="F570" s="51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9"/>
      <c r="R570" s="11"/>
      <c r="S570" s="11"/>
      <c r="T570" s="11"/>
      <c r="U570" s="11"/>
      <c r="V570" s="9"/>
      <c r="W570" s="11"/>
      <c r="X570" s="11"/>
      <c r="Y570" s="52"/>
      <c r="Z570" s="11"/>
      <c r="AA570" s="11"/>
      <c r="AB570" s="11"/>
      <c r="AC570" s="11"/>
      <c r="AD570" s="11"/>
      <c r="AE570" s="11"/>
      <c r="AF570" s="11"/>
      <c r="AG570" s="10"/>
      <c r="AH570" s="10"/>
      <c r="AI570" s="10"/>
      <c r="AJ570" s="11"/>
      <c r="AK570" s="11"/>
      <c r="AM570" s="11"/>
      <c r="AN570" s="11"/>
      <c r="AO570" s="11"/>
      <c r="AP570" s="11"/>
      <c r="AQ570" s="11"/>
      <c r="AR570" s="11"/>
      <c r="AS570" s="11"/>
    </row>
    <row r="571" spans="1:45" x14ac:dyDescent="0.25">
      <c r="A571" s="11"/>
      <c r="B571" s="51" t="s">
        <v>1082</v>
      </c>
      <c r="C571" s="11"/>
      <c r="D571" s="51"/>
      <c r="E571" s="51"/>
      <c r="F571" s="51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9"/>
      <c r="R571" s="11"/>
      <c r="S571" s="11"/>
      <c r="T571" s="11"/>
      <c r="U571" s="11"/>
      <c r="V571" s="9"/>
      <c r="W571" s="11"/>
      <c r="X571" s="11"/>
      <c r="Y571" s="52"/>
      <c r="Z571" s="11"/>
      <c r="AA571" s="11"/>
      <c r="AB571" s="11"/>
      <c r="AC571" s="11"/>
      <c r="AD571" s="11"/>
      <c r="AE571" s="11"/>
      <c r="AF571" s="11"/>
      <c r="AG571" s="10"/>
      <c r="AH571" s="10"/>
      <c r="AI571" s="10"/>
      <c r="AJ571" s="11"/>
      <c r="AK571" s="11"/>
      <c r="AM571" s="11"/>
      <c r="AN571" s="11"/>
      <c r="AO571" s="11"/>
      <c r="AP571" s="11"/>
      <c r="AQ571" s="11"/>
      <c r="AR571" s="11"/>
      <c r="AS571" s="11"/>
    </row>
    <row r="572" spans="1:45" x14ac:dyDescent="0.25">
      <c r="A572" s="11"/>
      <c r="B572" s="51" t="s">
        <v>1082</v>
      </c>
      <c r="C572" s="11"/>
      <c r="D572" s="51"/>
      <c r="E572" s="51"/>
      <c r="F572" s="51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9"/>
      <c r="R572" s="11"/>
      <c r="S572" s="11"/>
      <c r="T572" s="11"/>
      <c r="U572" s="11"/>
      <c r="V572" s="9"/>
      <c r="W572" s="11"/>
      <c r="X572" s="11"/>
      <c r="Y572" s="52"/>
      <c r="Z572" s="11"/>
      <c r="AA572" s="11"/>
      <c r="AB572" s="11"/>
      <c r="AC572" s="11"/>
      <c r="AD572" s="11"/>
      <c r="AE572" s="11"/>
      <c r="AF572" s="11"/>
      <c r="AG572" s="10"/>
      <c r="AH572" s="10"/>
      <c r="AI572" s="10"/>
      <c r="AJ572" s="11"/>
      <c r="AK572" s="11"/>
      <c r="AM572" s="11"/>
      <c r="AN572" s="11"/>
      <c r="AO572" s="11"/>
      <c r="AP572" s="11"/>
      <c r="AQ572" s="11"/>
      <c r="AR572" s="11"/>
      <c r="AS572" s="11"/>
    </row>
    <row r="573" spans="1:45" x14ac:dyDescent="0.25">
      <c r="A573" s="11"/>
      <c r="B573" s="51" t="s">
        <v>1082</v>
      </c>
      <c r="C573" s="11"/>
      <c r="D573" s="51"/>
      <c r="E573" s="51"/>
      <c r="F573" s="51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9"/>
      <c r="R573" s="11"/>
      <c r="S573" s="11"/>
      <c r="T573" s="11"/>
      <c r="U573" s="11"/>
      <c r="V573" s="9"/>
      <c r="W573" s="11"/>
      <c r="X573" s="11"/>
      <c r="Y573" s="52"/>
      <c r="Z573" s="11"/>
      <c r="AA573" s="11"/>
      <c r="AB573" s="11"/>
      <c r="AC573" s="11"/>
      <c r="AD573" s="11"/>
      <c r="AE573" s="11"/>
      <c r="AF573" s="11"/>
      <c r="AG573" s="10"/>
      <c r="AH573" s="10"/>
      <c r="AI573" s="10"/>
      <c r="AJ573" s="11"/>
      <c r="AK573" s="11"/>
      <c r="AM573" s="11"/>
      <c r="AN573" s="11"/>
      <c r="AO573" s="11"/>
      <c r="AP573" s="11"/>
      <c r="AQ573" s="11"/>
      <c r="AR573" s="11"/>
      <c r="AS573" s="11"/>
    </row>
    <row r="574" spans="1:45" x14ac:dyDescent="0.25">
      <c r="A574" s="11"/>
      <c r="B574" s="51" t="s">
        <v>1082</v>
      </c>
      <c r="C574" s="11"/>
      <c r="D574" s="51"/>
      <c r="E574" s="51"/>
      <c r="F574" s="51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9"/>
      <c r="R574" s="11"/>
      <c r="S574" s="11"/>
      <c r="T574" s="11"/>
      <c r="U574" s="11"/>
      <c r="V574" s="9"/>
      <c r="W574" s="11"/>
      <c r="X574" s="11"/>
      <c r="Y574" s="52"/>
      <c r="Z574" s="11"/>
      <c r="AA574" s="11"/>
      <c r="AB574" s="11"/>
      <c r="AC574" s="11"/>
      <c r="AD574" s="11"/>
      <c r="AE574" s="11"/>
      <c r="AF574" s="11"/>
      <c r="AG574" s="10"/>
      <c r="AH574" s="10"/>
      <c r="AI574" s="10"/>
      <c r="AJ574" s="11"/>
      <c r="AK574" s="11"/>
      <c r="AM574" s="11"/>
      <c r="AN574" s="11"/>
      <c r="AO574" s="11"/>
      <c r="AP574" s="11"/>
      <c r="AQ574" s="11"/>
      <c r="AR574" s="11"/>
      <c r="AS574" s="11"/>
    </row>
    <row r="575" spans="1:45" x14ac:dyDescent="0.25">
      <c r="A575" s="11"/>
      <c r="B575" s="51" t="s">
        <v>1082</v>
      </c>
      <c r="C575" s="11"/>
      <c r="D575" s="51"/>
      <c r="E575" s="51"/>
      <c r="F575" s="51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9"/>
      <c r="R575" s="11"/>
      <c r="S575" s="11"/>
      <c r="T575" s="11"/>
      <c r="U575" s="11"/>
      <c r="V575" s="9"/>
      <c r="W575" s="11"/>
      <c r="X575" s="11"/>
      <c r="Y575" s="52"/>
      <c r="Z575" s="11"/>
      <c r="AA575" s="11"/>
      <c r="AB575" s="11"/>
      <c r="AC575" s="11"/>
      <c r="AD575" s="11"/>
      <c r="AE575" s="11"/>
      <c r="AF575" s="11"/>
      <c r="AG575" s="10"/>
      <c r="AH575" s="10"/>
      <c r="AI575" s="10"/>
      <c r="AJ575" s="11"/>
      <c r="AK575" s="11"/>
      <c r="AM575" s="11"/>
      <c r="AN575" s="11"/>
      <c r="AO575" s="11"/>
      <c r="AP575" s="11"/>
      <c r="AQ575" s="11"/>
      <c r="AR575" s="11"/>
      <c r="AS575" s="11"/>
    </row>
    <row r="576" spans="1:45" x14ac:dyDescent="0.25">
      <c r="A576" s="11"/>
      <c r="B576" s="51" t="s">
        <v>1082</v>
      </c>
      <c r="C576" s="11"/>
      <c r="D576" s="51"/>
      <c r="E576" s="51"/>
      <c r="F576" s="51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9"/>
      <c r="R576" s="11"/>
      <c r="S576" s="11"/>
      <c r="T576" s="11"/>
      <c r="U576" s="11"/>
      <c r="V576" s="9"/>
      <c r="W576" s="11"/>
      <c r="X576" s="11"/>
      <c r="Y576" s="52"/>
      <c r="Z576" s="11"/>
      <c r="AA576" s="11"/>
      <c r="AB576" s="11"/>
      <c r="AC576" s="11"/>
      <c r="AD576" s="11"/>
      <c r="AE576" s="11"/>
      <c r="AF576" s="11"/>
      <c r="AG576" s="10"/>
      <c r="AH576" s="10"/>
      <c r="AI576" s="10"/>
      <c r="AJ576" s="11"/>
      <c r="AK576" s="11"/>
      <c r="AM576" s="11"/>
      <c r="AN576" s="11"/>
      <c r="AO576" s="11"/>
      <c r="AP576" s="11"/>
      <c r="AQ576" s="11"/>
      <c r="AR576" s="11"/>
      <c r="AS576" s="11"/>
    </row>
    <row r="577" spans="1:45" x14ac:dyDescent="0.25">
      <c r="A577" s="11"/>
      <c r="B577" s="51" t="s">
        <v>1082</v>
      </c>
      <c r="C577" s="11"/>
      <c r="D577" s="51"/>
      <c r="E577" s="51"/>
      <c r="F577" s="51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9"/>
      <c r="R577" s="11"/>
      <c r="S577" s="11"/>
      <c r="T577" s="11"/>
      <c r="U577" s="11"/>
      <c r="V577" s="9"/>
      <c r="W577" s="11"/>
      <c r="X577" s="11"/>
      <c r="Y577" s="52"/>
      <c r="Z577" s="11"/>
      <c r="AA577" s="11"/>
      <c r="AB577" s="11"/>
      <c r="AC577" s="11"/>
      <c r="AD577" s="11"/>
      <c r="AE577" s="11"/>
      <c r="AF577" s="11"/>
      <c r="AG577" s="10"/>
      <c r="AH577" s="10"/>
      <c r="AI577" s="10"/>
      <c r="AJ577" s="11"/>
      <c r="AK577" s="11"/>
      <c r="AM577" s="11"/>
      <c r="AN577" s="11"/>
      <c r="AO577" s="11"/>
      <c r="AP577" s="11"/>
      <c r="AQ577" s="11"/>
      <c r="AR577" s="11"/>
      <c r="AS577" s="11"/>
    </row>
    <row r="578" spans="1:45" x14ac:dyDescent="0.25">
      <c r="A578" s="11"/>
      <c r="B578" s="51" t="s">
        <v>1082</v>
      </c>
      <c r="C578" s="11"/>
      <c r="D578" s="51"/>
      <c r="E578" s="51"/>
      <c r="F578" s="51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9"/>
      <c r="R578" s="11"/>
      <c r="S578" s="11"/>
      <c r="T578" s="11"/>
      <c r="U578" s="11"/>
      <c r="V578" s="9"/>
      <c r="W578" s="11"/>
      <c r="X578" s="11"/>
      <c r="Y578" s="52"/>
      <c r="Z578" s="11"/>
      <c r="AA578" s="11"/>
      <c r="AB578" s="11"/>
      <c r="AC578" s="11"/>
      <c r="AD578" s="11"/>
      <c r="AE578" s="11"/>
      <c r="AF578" s="11"/>
      <c r="AG578" s="10"/>
      <c r="AH578" s="10"/>
      <c r="AI578" s="10"/>
      <c r="AJ578" s="11"/>
      <c r="AK578" s="11"/>
      <c r="AM578" s="11"/>
      <c r="AN578" s="11"/>
      <c r="AO578" s="11"/>
      <c r="AP578" s="11"/>
      <c r="AQ578" s="11"/>
      <c r="AR578" s="11"/>
      <c r="AS578" s="11"/>
    </row>
    <row r="579" spans="1:45" x14ac:dyDescent="0.25">
      <c r="A579" s="11"/>
      <c r="B579" s="51" t="s">
        <v>1082</v>
      </c>
      <c r="C579" s="11"/>
      <c r="D579" s="51"/>
      <c r="E579" s="51"/>
      <c r="F579" s="51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9"/>
      <c r="R579" s="11"/>
      <c r="S579" s="11"/>
      <c r="T579" s="11"/>
      <c r="U579" s="11"/>
      <c r="V579" s="9"/>
      <c r="W579" s="11"/>
      <c r="X579" s="11"/>
      <c r="Y579" s="52"/>
      <c r="Z579" s="11"/>
      <c r="AA579" s="11"/>
      <c r="AB579" s="11"/>
      <c r="AC579" s="11"/>
      <c r="AD579" s="11"/>
      <c r="AE579" s="11"/>
      <c r="AF579" s="11"/>
      <c r="AG579" s="10"/>
      <c r="AH579" s="10"/>
      <c r="AI579" s="10"/>
      <c r="AJ579" s="11"/>
      <c r="AK579" s="11"/>
      <c r="AM579" s="11"/>
      <c r="AN579" s="11"/>
      <c r="AO579" s="11"/>
      <c r="AP579" s="11"/>
      <c r="AQ579" s="11"/>
      <c r="AR579" s="11"/>
      <c r="AS579" s="11"/>
    </row>
    <row r="580" spans="1:45" x14ac:dyDescent="0.25">
      <c r="A580" s="11"/>
      <c r="B580" s="51" t="s">
        <v>1082</v>
      </c>
      <c r="C580" s="11"/>
      <c r="D580" s="51"/>
      <c r="E580" s="51"/>
      <c r="F580" s="51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9"/>
      <c r="R580" s="11"/>
      <c r="S580" s="11"/>
      <c r="T580" s="11"/>
      <c r="U580" s="11"/>
      <c r="V580" s="9"/>
      <c r="W580" s="11"/>
      <c r="X580" s="11"/>
      <c r="Y580" s="52"/>
      <c r="Z580" s="11"/>
      <c r="AA580" s="11"/>
      <c r="AB580" s="11"/>
      <c r="AC580" s="11"/>
      <c r="AD580" s="11"/>
      <c r="AE580" s="11"/>
      <c r="AF580" s="11"/>
      <c r="AG580" s="10"/>
      <c r="AH580" s="10"/>
      <c r="AI580" s="10"/>
      <c r="AJ580" s="11"/>
      <c r="AK580" s="11"/>
      <c r="AM580" s="11"/>
      <c r="AN580" s="11"/>
      <c r="AO580" s="11"/>
      <c r="AP580" s="11"/>
      <c r="AQ580" s="11"/>
      <c r="AR580" s="11"/>
      <c r="AS580" s="11"/>
    </row>
    <row r="581" spans="1:45" x14ac:dyDescent="0.25">
      <c r="A581" s="11"/>
      <c r="B581" s="51" t="s">
        <v>1082</v>
      </c>
      <c r="C581" s="11"/>
      <c r="D581" s="51"/>
      <c r="E581" s="51"/>
      <c r="F581" s="5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9"/>
      <c r="R581" s="11"/>
      <c r="S581" s="11"/>
      <c r="T581" s="11"/>
      <c r="U581" s="11"/>
      <c r="V581" s="9"/>
      <c r="W581" s="11"/>
      <c r="X581" s="11"/>
      <c r="Y581" s="52"/>
      <c r="Z581" s="11"/>
      <c r="AA581" s="11"/>
      <c r="AB581" s="11"/>
      <c r="AC581" s="11"/>
      <c r="AD581" s="11"/>
      <c r="AE581" s="11"/>
      <c r="AF581" s="11"/>
      <c r="AG581" s="10"/>
      <c r="AH581" s="10"/>
      <c r="AI581" s="10"/>
      <c r="AJ581" s="11"/>
      <c r="AK581" s="11"/>
      <c r="AM581" s="11"/>
      <c r="AN581" s="11"/>
      <c r="AO581" s="11"/>
      <c r="AP581" s="11"/>
      <c r="AQ581" s="11"/>
      <c r="AR581" s="11"/>
      <c r="AS581" s="11"/>
    </row>
    <row r="582" spans="1:45" x14ac:dyDescent="0.25">
      <c r="A582" s="11"/>
      <c r="B582" s="51" t="s">
        <v>1082</v>
      </c>
      <c r="C582" s="11"/>
      <c r="D582" s="51"/>
      <c r="E582" s="51"/>
      <c r="F582" s="51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9"/>
      <c r="R582" s="11"/>
      <c r="S582" s="11"/>
      <c r="T582" s="11"/>
      <c r="U582" s="11"/>
      <c r="V582" s="9"/>
      <c r="W582" s="11"/>
      <c r="X582" s="11"/>
      <c r="Y582" s="52"/>
      <c r="Z582" s="11"/>
      <c r="AA582" s="11"/>
      <c r="AB582" s="11"/>
      <c r="AC582" s="11"/>
      <c r="AD582" s="11"/>
      <c r="AE582" s="11"/>
      <c r="AF582" s="11"/>
      <c r="AG582" s="10"/>
      <c r="AH582" s="10"/>
      <c r="AI582" s="10"/>
      <c r="AJ582" s="11"/>
      <c r="AK582" s="11"/>
      <c r="AM582" s="11"/>
      <c r="AN582" s="11"/>
      <c r="AO582" s="11"/>
      <c r="AP582" s="11"/>
      <c r="AQ582" s="11"/>
      <c r="AR582" s="11"/>
      <c r="AS582" s="11"/>
    </row>
    <row r="583" spans="1:45" x14ac:dyDescent="0.25">
      <c r="A583" s="11"/>
      <c r="B583" s="51" t="s">
        <v>1082</v>
      </c>
      <c r="C583" s="11"/>
      <c r="D583" s="51"/>
      <c r="E583" s="51"/>
      <c r="F583" s="51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9"/>
      <c r="R583" s="11"/>
      <c r="S583" s="11"/>
      <c r="T583" s="11"/>
      <c r="U583" s="11"/>
      <c r="V583" s="9"/>
      <c r="W583" s="11"/>
      <c r="X583" s="11"/>
      <c r="Y583" s="52"/>
      <c r="Z583" s="11"/>
      <c r="AA583" s="11"/>
      <c r="AB583" s="11"/>
      <c r="AC583" s="11"/>
      <c r="AD583" s="11"/>
      <c r="AE583" s="11"/>
      <c r="AF583" s="11"/>
      <c r="AG583" s="10"/>
      <c r="AH583" s="10"/>
      <c r="AI583" s="10"/>
      <c r="AJ583" s="11"/>
      <c r="AK583" s="11"/>
      <c r="AM583" s="11"/>
      <c r="AN583" s="11"/>
      <c r="AO583" s="11"/>
      <c r="AP583" s="11"/>
      <c r="AQ583" s="11"/>
      <c r="AR583" s="11"/>
      <c r="AS583" s="11"/>
    </row>
    <row r="584" spans="1:45" x14ac:dyDescent="0.25">
      <c r="A584" s="11"/>
      <c r="B584" s="51" t="s">
        <v>1082</v>
      </c>
      <c r="C584" s="11"/>
      <c r="D584" s="51"/>
      <c r="E584" s="51"/>
      <c r="F584" s="51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9"/>
      <c r="R584" s="11"/>
      <c r="S584" s="11"/>
      <c r="T584" s="11"/>
      <c r="U584" s="11"/>
      <c r="V584" s="9"/>
      <c r="W584" s="11"/>
      <c r="X584" s="11"/>
      <c r="Y584" s="52"/>
      <c r="Z584" s="11"/>
      <c r="AA584" s="11"/>
      <c r="AB584" s="11"/>
      <c r="AC584" s="11"/>
      <c r="AD584" s="11"/>
      <c r="AE584" s="11"/>
      <c r="AF584" s="11"/>
      <c r="AG584" s="10"/>
      <c r="AH584" s="10"/>
      <c r="AI584" s="10"/>
      <c r="AJ584" s="11"/>
      <c r="AK584" s="11"/>
      <c r="AM584" s="11"/>
      <c r="AN584" s="11"/>
      <c r="AO584" s="11"/>
      <c r="AP584" s="11"/>
      <c r="AQ584" s="11"/>
      <c r="AR584" s="11"/>
      <c r="AS584" s="11"/>
    </row>
    <row r="585" spans="1:45" x14ac:dyDescent="0.25">
      <c r="A585" s="11"/>
      <c r="B585" s="51" t="s">
        <v>1082</v>
      </c>
      <c r="C585" s="11"/>
      <c r="D585" s="51"/>
      <c r="E585" s="51"/>
      <c r="F585" s="51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9"/>
      <c r="R585" s="11"/>
      <c r="S585" s="11"/>
      <c r="T585" s="11"/>
      <c r="U585" s="11"/>
      <c r="V585" s="9"/>
      <c r="W585" s="11"/>
      <c r="X585" s="11"/>
      <c r="Y585" s="52"/>
      <c r="Z585" s="11"/>
      <c r="AA585" s="11"/>
      <c r="AB585" s="11"/>
      <c r="AC585" s="11"/>
      <c r="AD585" s="11"/>
      <c r="AE585" s="11"/>
      <c r="AF585" s="11"/>
      <c r="AG585" s="10"/>
      <c r="AH585" s="10"/>
      <c r="AI585" s="10"/>
      <c r="AJ585" s="11"/>
      <c r="AK585" s="11"/>
      <c r="AM585" s="11"/>
      <c r="AN585" s="11"/>
      <c r="AO585" s="11"/>
      <c r="AP585" s="11"/>
      <c r="AQ585" s="11"/>
      <c r="AR585" s="11"/>
      <c r="AS585" s="11"/>
    </row>
    <row r="586" spans="1:45" x14ac:dyDescent="0.25">
      <c r="A586" s="11"/>
      <c r="B586" s="51" t="s">
        <v>1082</v>
      </c>
      <c r="C586" s="11"/>
      <c r="D586" s="51"/>
      <c r="E586" s="51"/>
      <c r="F586" s="51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9"/>
      <c r="R586" s="11"/>
      <c r="S586" s="11"/>
      <c r="T586" s="11"/>
      <c r="U586" s="11"/>
      <c r="V586" s="9"/>
      <c r="W586" s="11"/>
      <c r="X586" s="11"/>
      <c r="Y586" s="52"/>
      <c r="Z586" s="11"/>
      <c r="AA586" s="11"/>
      <c r="AB586" s="11"/>
      <c r="AC586" s="11"/>
      <c r="AD586" s="11"/>
      <c r="AE586" s="11"/>
      <c r="AF586" s="11"/>
      <c r="AG586" s="10"/>
      <c r="AH586" s="10"/>
      <c r="AI586" s="10"/>
      <c r="AJ586" s="11"/>
      <c r="AK586" s="11"/>
      <c r="AM586" s="11"/>
      <c r="AN586" s="11"/>
      <c r="AO586" s="11"/>
      <c r="AP586" s="11"/>
      <c r="AQ586" s="11"/>
      <c r="AR586" s="11"/>
      <c r="AS586" s="11"/>
    </row>
    <row r="587" spans="1:45" x14ac:dyDescent="0.25">
      <c r="A587" s="11"/>
      <c r="B587" s="51" t="s">
        <v>1082</v>
      </c>
      <c r="C587" s="11"/>
      <c r="D587" s="51"/>
      <c r="E587" s="51"/>
      <c r="F587" s="51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9"/>
      <c r="R587" s="11"/>
      <c r="S587" s="11"/>
      <c r="T587" s="11"/>
      <c r="U587" s="11"/>
      <c r="V587" s="9"/>
      <c r="W587" s="11"/>
      <c r="X587" s="11"/>
      <c r="Y587" s="52"/>
      <c r="Z587" s="11"/>
      <c r="AA587" s="11"/>
      <c r="AB587" s="11"/>
      <c r="AC587" s="11"/>
      <c r="AD587" s="11"/>
      <c r="AE587" s="11"/>
      <c r="AF587" s="11"/>
      <c r="AG587" s="10"/>
      <c r="AH587" s="10"/>
      <c r="AI587" s="10"/>
      <c r="AJ587" s="11"/>
      <c r="AK587" s="11"/>
      <c r="AM587" s="11"/>
      <c r="AN587" s="11"/>
      <c r="AO587" s="11"/>
      <c r="AP587" s="11"/>
      <c r="AQ587" s="11"/>
      <c r="AR587" s="11"/>
      <c r="AS587" s="11"/>
    </row>
    <row r="588" spans="1:45" x14ac:dyDescent="0.25">
      <c r="A588" s="11"/>
      <c r="B588" s="51" t="s">
        <v>1082</v>
      </c>
      <c r="C588" s="11"/>
      <c r="D588" s="51"/>
      <c r="E588" s="51"/>
      <c r="F588" s="51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9"/>
      <c r="R588" s="11"/>
      <c r="S588" s="11"/>
      <c r="T588" s="11"/>
      <c r="U588" s="11"/>
      <c r="V588" s="9"/>
      <c r="W588" s="11"/>
      <c r="X588" s="11"/>
      <c r="Y588" s="52"/>
      <c r="Z588" s="11"/>
      <c r="AA588" s="11"/>
      <c r="AB588" s="11"/>
      <c r="AC588" s="11"/>
      <c r="AD588" s="11"/>
      <c r="AE588" s="11"/>
      <c r="AF588" s="11"/>
      <c r="AG588" s="10"/>
      <c r="AH588" s="10"/>
      <c r="AI588" s="10"/>
      <c r="AJ588" s="11"/>
      <c r="AK588" s="11"/>
      <c r="AM588" s="11"/>
      <c r="AN588" s="11"/>
      <c r="AO588" s="11"/>
      <c r="AP588" s="11"/>
      <c r="AQ588" s="11"/>
      <c r="AR588" s="11"/>
      <c r="AS588" s="11"/>
    </row>
    <row r="589" spans="1:45" x14ac:dyDescent="0.25">
      <c r="A589" s="11"/>
      <c r="B589" s="51" t="s">
        <v>1082</v>
      </c>
      <c r="C589" s="11"/>
      <c r="D589" s="51"/>
      <c r="E589" s="51"/>
      <c r="F589" s="51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9"/>
      <c r="R589" s="11"/>
      <c r="S589" s="11"/>
      <c r="T589" s="11"/>
      <c r="U589" s="11"/>
      <c r="V589" s="9"/>
      <c r="W589" s="11"/>
      <c r="X589" s="11"/>
      <c r="Y589" s="52"/>
      <c r="Z589" s="11"/>
      <c r="AA589" s="11"/>
      <c r="AB589" s="11"/>
      <c r="AC589" s="11"/>
      <c r="AD589" s="11"/>
      <c r="AE589" s="11"/>
      <c r="AF589" s="11"/>
      <c r="AG589" s="10"/>
      <c r="AH589" s="10"/>
      <c r="AI589" s="10"/>
      <c r="AJ589" s="11"/>
      <c r="AK589" s="11"/>
      <c r="AM589" s="11"/>
      <c r="AN589" s="11"/>
      <c r="AO589" s="11"/>
      <c r="AP589" s="11"/>
      <c r="AQ589" s="11"/>
      <c r="AR589" s="11"/>
      <c r="AS589" s="11"/>
    </row>
    <row r="590" spans="1:45" x14ac:dyDescent="0.25">
      <c r="A590" s="11"/>
      <c r="B590" s="51" t="s">
        <v>1082</v>
      </c>
      <c r="C590" s="11"/>
      <c r="D590" s="51"/>
      <c r="E590" s="51"/>
      <c r="F590" s="51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9"/>
      <c r="R590" s="11"/>
      <c r="S590" s="11"/>
      <c r="T590" s="11"/>
      <c r="U590" s="11"/>
      <c r="V590" s="9"/>
      <c r="W590" s="11"/>
      <c r="X590" s="11"/>
      <c r="Y590" s="52"/>
      <c r="Z590" s="11"/>
      <c r="AA590" s="11"/>
      <c r="AB590" s="11"/>
      <c r="AC590" s="11"/>
      <c r="AD590" s="11"/>
      <c r="AE590" s="11"/>
      <c r="AF590" s="11"/>
      <c r="AG590" s="10"/>
      <c r="AH590" s="10"/>
      <c r="AI590" s="10"/>
      <c r="AJ590" s="11"/>
      <c r="AK590" s="11"/>
      <c r="AM590" s="11"/>
      <c r="AN590" s="11"/>
      <c r="AO590" s="11"/>
      <c r="AP590" s="11"/>
      <c r="AQ590" s="11"/>
      <c r="AR590" s="11"/>
      <c r="AS590" s="11"/>
    </row>
    <row r="591" spans="1:45" x14ac:dyDescent="0.25">
      <c r="A591" s="11"/>
      <c r="B591" s="51" t="s">
        <v>1082</v>
      </c>
      <c r="C591" s="11"/>
      <c r="D591" s="51"/>
      <c r="E591" s="51"/>
      <c r="F591" s="51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9"/>
      <c r="R591" s="11"/>
      <c r="S591" s="11"/>
      <c r="T591" s="11"/>
      <c r="U591" s="11"/>
      <c r="V591" s="9"/>
      <c r="W591" s="11"/>
      <c r="X591" s="11"/>
      <c r="Y591" s="52"/>
      <c r="Z591" s="11"/>
      <c r="AA591" s="11"/>
      <c r="AB591" s="11"/>
      <c r="AC591" s="11"/>
      <c r="AD591" s="11"/>
      <c r="AE591" s="11"/>
      <c r="AF591" s="11"/>
      <c r="AG591" s="10"/>
      <c r="AH591" s="10"/>
      <c r="AI591" s="10"/>
      <c r="AJ591" s="11"/>
      <c r="AK591" s="11"/>
      <c r="AM591" s="11"/>
      <c r="AN591" s="11"/>
      <c r="AO591" s="11"/>
      <c r="AP591" s="11"/>
      <c r="AQ591" s="11"/>
      <c r="AR591" s="11"/>
      <c r="AS591" s="11"/>
    </row>
    <row r="592" spans="1:45" x14ac:dyDescent="0.25">
      <c r="A592" s="11"/>
      <c r="B592" s="51" t="s">
        <v>1082</v>
      </c>
      <c r="C592" s="11"/>
      <c r="D592" s="51"/>
      <c r="E592" s="51"/>
      <c r="F592" s="51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9"/>
      <c r="R592" s="11"/>
      <c r="S592" s="11"/>
      <c r="T592" s="11"/>
      <c r="U592" s="11"/>
      <c r="V592" s="9"/>
      <c r="W592" s="11"/>
      <c r="X592" s="11"/>
      <c r="Y592" s="52"/>
      <c r="Z592" s="11"/>
      <c r="AA592" s="11"/>
      <c r="AB592" s="11"/>
      <c r="AC592" s="11"/>
      <c r="AD592" s="11"/>
      <c r="AE592" s="11"/>
      <c r="AF592" s="11"/>
      <c r="AG592" s="10"/>
      <c r="AH592" s="10"/>
      <c r="AI592" s="10"/>
      <c r="AJ592" s="11"/>
      <c r="AK592" s="11"/>
      <c r="AM592" s="11"/>
      <c r="AN592" s="11"/>
      <c r="AO592" s="11"/>
      <c r="AP592" s="11"/>
      <c r="AQ592" s="11"/>
      <c r="AR592" s="11"/>
      <c r="AS592" s="11"/>
    </row>
    <row r="593" spans="1:45" x14ac:dyDescent="0.25">
      <c r="A593" s="11"/>
      <c r="B593" s="51" t="s">
        <v>1082</v>
      </c>
      <c r="C593" s="11"/>
      <c r="D593" s="51"/>
      <c r="E593" s="51"/>
      <c r="F593" s="51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9"/>
      <c r="R593" s="11"/>
      <c r="S593" s="11"/>
      <c r="T593" s="11"/>
      <c r="U593" s="11"/>
      <c r="V593" s="9"/>
      <c r="W593" s="11"/>
      <c r="X593" s="11"/>
      <c r="Y593" s="52"/>
      <c r="Z593" s="11"/>
      <c r="AA593" s="11"/>
      <c r="AB593" s="11"/>
      <c r="AC593" s="11"/>
      <c r="AD593" s="11"/>
      <c r="AE593" s="11"/>
      <c r="AF593" s="11"/>
      <c r="AG593" s="10"/>
      <c r="AH593" s="10"/>
      <c r="AI593" s="10"/>
      <c r="AJ593" s="11"/>
      <c r="AK593" s="11"/>
      <c r="AM593" s="11"/>
      <c r="AN593" s="11"/>
      <c r="AO593" s="11"/>
      <c r="AP593" s="11"/>
      <c r="AQ593" s="11"/>
      <c r="AR593" s="11"/>
      <c r="AS593" s="11"/>
    </row>
    <row r="594" spans="1:45" x14ac:dyDescent="0.25">
      <c r="A594" s="11"/>
      <c r="B594" s="51" t="s">
        <v>1082</v>
      </c>
      <c r="C594" s="11"/>
      <c r="D594" s="51"/>
      <c r="E594" s="51"/>
      <c r="F594" s="51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9"/>
      <c r="R594" s="11"/>
      <c r="S594" s="11"/>
      <c r="T594" s="11"/>
      <c r="U594" s="11"/>
      <c r="V594" s="9"/>
      <c r="W594" s="11"/>
      <c r="X594" s="11"/>
      <c r="Y594" s="52"/>
      <c r="Z594" s="11"/>
      <c r="AA594" s="11"/>
      <c r="AB594" s="11"/>
      <c r="AC594" s="11"/>
      <c r="AD594" s="11"/>
      <c r="AE594" s="11"/>
      <c r="AF594" s="11"/>
      <c r="AG594" s="10"/>
      <c r="AH594" s="10"/>
      <c r="AI594" s="10"/>
      <c r="AJ594" s="11"/>
      <c r="AK594" s="11"/>
      <c r="AM594" s="11"/>
      <c r="AN594" s="11"/>
      <c r="AO594" s="11"/>
      <c r="AP594" s="11"/>
      <c r="AQ594" s="11"/>
      <c r="AR594" s="11"/>
      <c r="AS594" s="11"/>
    </row>
    <row r="595" spans="1:45" x14ac:dyDescent="0.25">
      <c r="A595" s="11"/>
      <c r="B595" s="51" t="s">
        <v>1082</v>
      </c>
      <c r="C595" s="11"/>
      <c r="D595" s="51"/>
      <c r="E595" s="51"/>
      <c r="F595" s="51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9"/>
      <c r="R595" s="11"/>
      <c r="S595" s="11"/>
      <c r="T595" s="11"/>
      <c r="U595" s="11"/>
      <c r="V595" s="9"/>
      <c r="W595" s="11"/>
      <c r="X595" s="11"/>
      <c r="Y595" s="52"/>
      <c r="Z595" s="11"/>
      <c r="AA595" s="11"/>
      <c r="AB595" s="11"/>
      <c r="AC595" s="11"/>
      <c r="AD595" s="11"/>
      <c r="AE595" s="11"/>
      <c r="AF595" s="11"/>
      <c r="AG595" s="10"/>
      <c r="AH595" s="10"/>
      <c r="AI595" s="10"/>
      <c r="AJ595" s="11"/>
      <c r="AK595" s="11"/>
      <c r="AM595" s="11"/>
      <c r="AN595" s="11"/>
      <c r="AO595" s="11"/>
      <c r="AP595" s="11"/>
      <c r="AQ595" s="11"/>
      <c r="AR595" s="11"/>
      <c r="AS595" s="11"/>
    </row>
    <row r="596" spans="1:45" x14ac:dyDescent="0.25">
      <c r="A596" s="11"/>
      <c r="B596" s="51" t="s">
        <v>1082</v>
      </c>
      <c r="C596" s="11"/>
      <c r="D596" s="51"/>
      <c r="E596" s="51"/>
      <c r="F596" s="51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9"/>
      <c r="R596" s="11"/>
      <c r="S596" s="11"/>
      <c r="T596" s="11"/>
      <c r="U596" s="11"/>
      <c r="V596" s="9"/>
      <c r="W596" s="11"/>
      <c r="X596" s="11"/>
      <c r="Y596" s="52"/>
      <c r="Z596" s="11"/>
      <c r="AA596" s="11"/>
      <c r="AB596" s="11"/>
      <c r="AC596" s="11"/>
      <c r="AD596" s="11"/>
      <c r="AE596" s="11"/>
      <c r="AF596" s="11"/>
      <c r="AG596" s="10"/>
      <c r="AH596" s="10"/>
      <c r="AI596" s="10"/>
      <c r="AJ596" s="11"/>
      <c r="AK596" s="11"/>
      <c r="AM596" s="11"/>
      <c r="AN596" s="11"/>
      <c r="AO596" s="11"/>
      <c r="AP596" s="11"/>
      <c r="AQ596" s="11"/>
      <c r="AR596" s="11"/>
      <c r="AS596" s="11"/>
    </row>
    <row r="597" spans="1:45" x14ac:dyDescent="0.25">
      <c r="A597" s="11"/>
      <c r="B597" s="51" t="s">
        <v>1082</v>
      </c>
      <c r="C597" s="11"/>
      <c r="D597" s="51"/>
      <c r="E597" s="51"/>
      <c r="F597" s="51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9"/>
      <c r="R597" s="11"/>
      <c r="S597" s="11"/>
      <c r="T597" s="11"/>
      <c r="U597" s="11"/>
      <c r="V597" s="9"/>
      <c r="W597" s="11"/>
      <c r="X597" s="11"/>
      <c r="Y597" s="52"/>
      <c r="Z597" s="11"/>
      <c r="AA597" s="11"/>
      <c r="AB597" s="11"/>
      <c r="AC597" s="11"/>
      <c r="AD597" s="11"/>
      <c r="AE597" s="11"/>
      <c r="AF597" s="11"/>
      <c r="AG597" s="10"/>
      <c r="AH597" s="10"/>
      <c r="AI597" s="10"/>
      <c r="AJ597" s="11"/>
      <c r="AK597" s="11"/>
      <c r="AM597" s="11"/>
      <c r="AN597" s="11"/>
      <c r="AO597" s="11"/>
      <c r="AP597" s="11"/>
      <c r="AQ597" s="11"/>
      <c r="AR597" s="11"/>
      <c r="AS597" s="11"/>
    </row>
    <row r="598" spans="1:45" x14ac:dyDescent="0.25">
      <c r="A598" s="11"/>
      <c r="B598" s="51" t="s">
        <v>1082</v>
      </c>
      <c r="C598" s="11"/>
      <c r="D598" s="51"/>
      <c r="E598" s="51"/>
      <c r="F598" s="51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9"/>
      <c r="R598" s="11"/>
      <c r="S598" s="11"/>
      <c r="T598" s="11"/>
      <c r="U598" s="11"/>
      <c r="V598" s="9"/>
      <c r="W598" s="11"/>
      <c r="X598" s="11"/>
      <c r="Y598" s="52"/>
      <c r="Z598" s="11"/>
      <c r="AA598" s="11"/>
      <c r="AB598" s="11"/>
      <c r="AC598" s="11"/>
      <c r="AD598" s="11"/>
      <c r="AE598" s="11"/>
      <c r="AF598" s="11"/>
      <c r="AG598" s="10"/>
      <c r="AH598" s="10"/>
      <c r="AI598" s="10"/>
      <c r="AJ598" s="11"/>
      <c r="AK598" s="11"/>
      <c r="AM598" s="11"/>
      <c r="AN598" s="11"/>
      <c r="AO598" s="11"/>
      <c r="AP598" s="11"/>
      <c r="AQ598" s="11"/>
      <c r="AR598" s="11"/>
      <c r="AS598" s="11"/>
    </row>
    <row r="599" spans="1:45" x14ac:dyDescent="0.25">
      <c r="A599" s="11"/>
      <c r="B599" s="51" t="s">
        <v>1082</v>
      </c>
      <c r="C599" s="11"/>
      <c r="D599" s="51"/>
      <c r="E599" s="51"/>
      <c r="F599" s="51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9"/>
      <c r="R599" s="11"/>
      <c r="S599" s="11"/>
      <c r="T599" s="11"/>
      <c r="U599" s="11"/>
      <c r="V599" s="9"/>
      <c r="W599" s="11"/>
      <c r="X599" s="11"/>
      <c r="Y599" s="52"/>
      <c r="Z599" s="11"/>
      <c r="AA599" s="11"/>
      <c r="AB599" s="11"/>
      <c r="AC599" s="11"/>
      <c r="AD599" s="11"/>
      <c r="AE599" s="11"/>
      <c r="AF599" s="11"/>
      <c r="AG599" s="10"/>
      <c r="AH599" s="10"/>
      <c r="AI599" s="10"/>
      <c r="AJ599" s="11"/>
      <c r="AK599" s="11"/>
      <c r="AM599" s="11"/>
      <c r="AN599" s="11"/>
      <c r="AO599" s="11"/>
      <c r="AP599" s="11"/>
      <c r="AQ599" s="11"/>
      <c r="AR599" s="11"/>
      <c r="AS599" s="11"/>
    </row>
    <row r="600" spans="1:45" x14ac:dyDescent="0.25">
      <c r="A600" s="11"/>
      <c r="B600" s="51" t="s">
        <v>1082</v>
      </c>
      <c r="C600" s="11"/>
      <c r="D600" s="51"/>
      <c r="E600" s="51"/>
      <c r="F600" s="51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9"/>
      <c r="R600" s="11"/>
      <c r="S600" s="11"/>
      <c r="T600" s="11"/>
      <c r="U600" s="11"/>
      <c r="V600" s="9"/>
      <c r="W600" s="11"/>
      <c r="X600" s="11"/>
      <c r="Y600" s="52"/>
      <c r="Z600" s="11"/>
      <c r="AA600" s="11"/>
      <c r="AB600" s="11"/>
      <c r="AC600" s="11"/>
      <c r="AD600" s="11"/>
      <c r="AE600" s="11"/>
      <c r="AF600" s="11"/>
      <c r="AG600" s="10"/>
      <c r="AH600" s="10"/>
      <c r="AI600" s="10"/>
      <c r="AJ600" s="11"/>
      <c r="AK600" s="11"/>
      <c r="AM600" s="11"/>
      <c r="AN600" s="11"/>
      <c r="AO600" s="11"/>
      <c r="AP600" s="11"/>
      <c r="AQ600" s="11"/>
      <c r="AR600" s="11"/>
      <c r="AS600" s="11"/>
    </row>
    <row r="601" spans="1:45" x14ac:dyDescent="0.25">
      <c r="A601" s="11"/>
      <c r="B601" s="51" t="s">
        <v>1082</v>
      </c>
      <c r="C601" s="11"/>
      <c r="D601" s="51"/>
      <c r="E601" s="51"/>
      <c r="F601" s="5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9"/>
      <c r="R601" s="11"/>
      <c r="S601" s="11"/>
      <c r="T601" s="11"/>
      <c r="U601" s="11"/>
      <c r="V601" s="9"/>
      <c r="W601" s="11"/>
      <c r="X601" s="11"/>
      <c r="Y601" s="52"/>
      <c r="Z601" s="11"/>
      <c r="AA601" s="11"/>
      <c r="AB601" s="11"/>
      <c r="AC601" s="11"/>
      <c r="AD601" s="11"/>
      <c r="AE601" s="11"/>
      <c r="AF601" s="11"/>
      <c r="AG601" s="10"/>
      <c r="AH601" s="10"/>
      <c r="AI601" s="10"/>
      <c r="AJ601" s="11"/>
      <c r="AK601" s="11"/>
      <c r="AM601" s="11"/>
      <c r="AN601" s="11"/>
      <c r="AO601" s="11"/>
      <c r="AP601" s="11"/>
      <c r="AQ601" s="11"/>
      <c r="AR601" s="11"/>
      <c r="AS601" s="11"/>
    </row>
    <row r="602" spans="1:45" x14ac:dyDescent="0.25">
      <c r="A602" s="11"/>
      <c r="B602" s="51" t="s">
        <v>1082</v>
      </c>
      <c r="C602" s="11"/>
      <c r="D602" s="51"/>
      <c r="E602" s="51"/>
      <c r="F602" s="51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9"/>
      <c r="R602" s="11"/>
      <c r="S602" s="11"/>
      <c r="T602" s="11"/>
      <c r="U602" s="11"/>
      <c r="V602" s="9"/>
      <c r="W602" s="11"/>
      <c r="X602" s="11"/>
      <c r="Y602" s="52"/>
      <c r="Z602" s="11"/>
      <c r="AA602" s="11"/>
      <c r="AB602" s="11"/>
      <c r="AC602" s="11"/>
      <c r="AD602" s="11"/>
      <c r="AE602" s="11"/>
      <c r="AF602" s="11"/>
      <c r="AG602" s="10"/>
      <c r="AH602" s="10"/>
      <c r="AI602" s="10"/>
      <c r="AJ602" s="11"/>
      <c r="AK602" s="11"/>
      <c r="AM602" s="11"/>
      <c r="AN602" s="11"/>
      <c r="AO602" s="11"/>
      <c r="AP602" s="11"/>
      <c r="AQ602" s="11"/>
      <c r="AR602" s="11"/>
      <c r="AS602" s="11"/>
    </row>
    <row r="603" spans="1:45" x14ac:dyDescent="0.25">
      <c r="A603" s="11"/>
      <c r="B603" s="51" t="s">
        <v>1082</v>
      </c>
      <c r="C603" s="11"/>
      <c r="D603" s="51"/>
      <c r="E603" s="51"/>
      <c r="F603" s="51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9"/>
      <c r="R603" s="11"/>
      <c r="S603" s="11"/>
      <c r="T603" s="11"/>
      <c r="U603" s="11"/>
      <c r="V603" s="9"/>
      <c r="W603" s="11"/>
      <c r="X603" s="11"/>
      <c r="Y603" s="52"/>
      <c r="Z603" s="11"/>
      <c r="AA603" s="11"/>
      <c r="AB603" s="11"/>
      <c r="AC603" s="11"/>
      <c r="AD603" s="11"/>
      <c r="AE603" s="11"/>
      <c r="AF603" s="11"/>
      <c r="AG603" s="10"/>
      <c r="AH603" s="10"/>
      <c r="AI603" s="10"/>
      <c r="AJ603" s="11"/>
      <c r="AK603" s="11"/>
      <c r="AM603" s="11"/>
      <c r="AN603" s="11"/>
      <c r="AO603" s="11"/>
      <c r="AP603" s="11"/>
      <c r="AQ603" s="11"/>
      <c r="AR603" s="11"/>
      <c r="AS603" s="11"/>
    </row>
    <row r="604" spans="1:45" x14ac:dyDescent="0.25">
      <c r="A604" s="11"/>
      <c r="B604" s="51" t="s">
        <v>1082</v>
      </c>
      <c r="C604" s="11"/>
      <c r="D604" s="51"/>
      <c r="E604" s="51"/>
      <c r="F604" s="51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9"/>
      <c r="R604" s="11"/>
      <c r="S604" s="11"/>
      <c r="T604" s="11"/>
      <c r="U604" s="11"/>
      <c r="V604" s="9"/>
      <c r="W604" s="11"/>
      <c r="X604" s="11"/>
      <c r="Y604" s="52"/>
      <c r="Z604" s="11"/>
      <c r="AA604" s="11"/>
      <c r="AB604" s="11"/>
      <c r="AC604" s="11"/>
      <c r="AD604" s="11"/>
      <c r="AE604" s="11"/>
      <c r="AF604" s="11"/>
      <c r="AG604" s="10"/>
      <c r="AH604" s="10"/>
      <c r="AI604" s="10"/>
      <c r="AJ604" s="11"/>
      <c r="AK604" s="11"/>
      <c r="AM604" s="11"/>
      <c r="AN604" s="11"/>
      <c r="AO604" s="11"/>
      <c r="AP604" s="11"/>
      <c r="AQ604" s="11"/>
      <c r="AR604" s="11"/>
      <c r="AS604" s="11"/>
    </row>
    <row r="605" spans="1:45" x14ac:dyDescent="0.25">
      <c r="A605" s="11"/>
      <c r="B605" s="51" t="s">
        <v>1082</v>
      </c>
      <c r="C605" s="11"/>
      <c r="D605" s="51"/>
      <c r="E605" s="51"/>
      <c r="F605" s="51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9"/>
      <c r="R605" s="11"/>
      <c r="S605" s="11"/>
      <c r="T605" s="11"/>
      <c r="U605" s="11"/>
      <c r="V605" s="9"/>
      <c r="W605" s="11"/>
      <c r="X605" s="11"/>
      <c r="Y605" s="52"/>
      <c r="Z605" s="11"/>
      <c r="AA605" s="11"/>
      <c r="AB605" s="11"/>
      <c r="AC605" s="11"/>
      <c r="AD605" s="11"/>
      <c r="AE605" s="11"/>
      <c r="AF605" s="11"/>
      <c r="AG605" s="10"/>
      <c r="AH605" s="10"/>
      <c r="AI605" s="10"/>
      <c r="AJ605" s="11"/>
      <c r="AK605" s="11"/>
      <c r="AM605" s="11"/>
      <c r="AN605" s="11"/>
      <c r="AO605" s="11"/>
      <c r="AP605" s="11"/>
      <c r="AQ605" s="11"/>
      <c r="AR605" s="11"/>
      <c r="AS605" s="11"/>
    </row>
    <row r="606" spans="1:45" x14ac:dyDescent="0.25">
      <c r="A606" s="11"/>
      <c r="B606" s="51" t="s">
        <v>1082</v>
      </c>
      <c r="C606" s="11"/>
      <c r="D606" s="51"/>
      <c r="E606" s="51"/>
      <c r="F606" s="51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9"/>
      <c r="R606" s="11"/>
      <c r="S606" s="11"/>
      <c r="T606" s="11"/>
      <c r="U606" s="11"/>
      <c r="V606" s="9"/>
      <c r="W606" s="11"/>
      <c r="X606" s="11"/>
      <c r="Y606" s="52"/>
      <c r="Z606" s="11"/>
      <c r="AA606" s="11"/>
      <c r="AB606" s="11"/>
      <c r="AC606" s="11"/>
      <c r="AD606" s="11"/>
      <c r="AE606" s="11"/>
      <c r="AF606" s="11"/>
      <c r="AG606" s="10"/>
      <c r="AH606" s="10"/>
      <c r="AI606" s="10"/>
      <c r="AJ606" s="11"/>
      <c r="AK606" s="11"/>
      <c r="AM606" s="11"/>
      <c r="AN606" s="11"/>
      <c r="AO606" s="11"/>
      <c r="AP606" s="11"/>
      <c r="AQ606" s="11"/>
      <c r="AR606" s="11"/>
      <c r="AS606" s="11"/>
    </row>
    <row r="607" spans="1:45" x14ac:dyDescent="0.25">
      <c r="A607" s="11"/>
      <c r="B607" s="51" t="s">
        <v>1082</v>
      </c>
      <c r="C607" s="11"/>
      <c r="D607" s="51"/>
      <c r="E607" s="51"/>
      <c r="F607" s="51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9"/>
      <c r="R607" s="11"/>
      <c r="S607" s="11"/>
      <c r="T607" s="11"/>
      <c r="U607" s="11"/>
      <c r="V607" s="9"/>
      <c r="W607" s="11"/>
      <c r="X607" s="11"/>
      <c r="Y607" s="52"/>
      <c r="Z607" s="11"/>
      <c r="AA607" s="11"/>
      <c r="AB607" s="11"/>
      <c r="AC607" s="11"/>
      <c r="AD607" s="11"/>
      <c r="AE607" s="11"/>
      <c r="AF607" s="11"/>
      <c r="AG607" s="10"/>
      <c r="AH607" s="10"/>
      <c r="AI607" s="10"/>
      <c r="AJ607" s="11"/>
      <c r="AK607" s="11"/>
      <c r="AM607" s="11"/>
      <c r="AN607" s="11"/>
      <c r="AO607" s="11"/>
      <c r="AP607" s="11"/>
      <c r="AQ607" s="11"/>
      <c r="AR607" s="11"/>
      <c r="AS607" s="11"/>
    </row>
    <row r="608" spans="1:45" x14ac:dyDescent="0.25">
      <c r="A608" s="11"/>
      <c r="B608" s="51" t="s">
        <v>1082</v>
      </c>
      <c r="C608" s="11"/>
      <c r="D608" s="51"/>
      <c r="E608" s="51"/>
      <c r="F608" s="51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9"/>
      <c r="R608" s="11"/>
      <c r="S608" s="11"/>
      <c r="T608" s="11"/>
      <c r="U608" s="11"/>
      <c r="V608" s="9"/>
      <c r="W608" s="11"/>
      <c r="X608" s="11"/>
      <c r="Y608" s="52"/>
      <c r="Z608" s="11"/>
      <c r="AA608" s="11"/>
      <c r="AB608" s="11"/>
      <c r="AC608" s="11"/>
      <c r="AD608" s="11"/>
      <c r="AE608" s="11"/>
      <c r="AF608" s="11"/>
      <c r="AG608" s="10"/>
      <c r="AH608" s="10"/>
      <c r="AI608" s="10"/>
      <c r="AJ608" s="11"/>
      <c r="AK608" s="11"/>
      <c r="AM608" s="11"/>
      <c r="AN608" s="11"/>
      <c r="AO608" s="11"/>
      <c r="AP608" s="11"/>
      <c r="AQ608" s="11"/>
      <c r="AR608" s="11"/>
      <c r="AS608" s="11"/>
    </row>
    <row r="609" spans="1:45" x14ac:dyDescent="0.25">
      <c r="A609" s="11"/>
      <c r="B609" s="51" t="s">
        <v>1082</v>
      </c>
      <c r="C609" s="11"/>
      <c r="D609" s="51"/>
      <c r="E609" s="51"/>
      <c r="F609" s="51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9"/>
      <c r="R609" s="11"/>
      <c r="S609" s="11"/>
      <c r="T609" s="11"/>
      <c r="U609" s="11"/>
      <c r="V609" s="9"/>
      <c r="W609" s="11"/>
      <c r="X609" s="11"/>
      <c r="Y609" s="52"/>
      <c r="Z609" s="11"/>
      <c r="AA609" s="11"/>
      <c r="AB609" s="11"/>
      <c r="AC609" s="11"/>
      <c r="AD609" s="11"/>
      <c r="AE609" s="11"/>
      <c r="AF609" s="11"/>
      <c r="AG609" s="10"/>
      <c r="AH609" s="10"/>
      <c r="AI609" s="10"/>
      <c r="AJ609" s="11"/>
      <c r="AK609" s="11"/>
      <c r="AM609" s="11"/>
      <c r="AN609" s="11"/>
      <c r="AO609" s="11"/>
      <c r="AP609" s="11"/>
      <c r="AQ609" s="11"/>
      <c r="AR609" s="11"/>
      <c r="AS609" s="11"/>
    </row>
    <row r="610" spans="1:45" x14ac:dyDescent="0.25">
      <c r="A610" s="11"/>
      <c r="B610" s="51" t="s">
        <v>1082</v>
      </c>
      <c r="C610" s="11"/>
      <c r="D610" s="51"/>
      <c r="E610" s="51"/>
      <c r="F610" s="51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9"/>
      <c r="R610" s="11"/>
      <c r="S610" s="11"/>
      <c r="T610" s="11"/>
      <c r="U610" s="11"/>
      <c r="V610" s="9"/>
      <c r="W610" s="11"/>
      <c r="X610" s="11"/>
      <c r="Y610" s="52"/>
      <c r="Z610" s="11"/>
      <c r="AA610" s="11"/>
      <c r="AB610" s="11"/>
      <c r="AC610" s="11"/>
      <c r="AD610" s="11"/>
      <c r="AE610" s="11"/>
      <c r="AF610" s="11"/>
      <c r="AG610" s="10"/>
      <c r="AH610" s="10"/>
      <c r="AI610" s="10"/>
      <c r="AJ610" s="11"/>
      <c r="AK610" s="11"/>
      <c r="AM610" s="11"/>
      <c r="AN610" s="11"/>
      <c r="AO610" s="11"/>
      <c r="AP610" s="11"/>
      <c r="AQ610" s="11"/>
      <c r="AR610" s="11"/>
      <c r="AS610" s="11"/>
    </row>
    <row r="611" spans="1:45" x14ac:dyDescent="0.25">
      <c r="A611" s="11"/>
      <c r="B611" s="51" t="s">
        <v>1082</v>
      </c>
      <c r="C611" s="11"/>
      <c r="D611" s="51"/>
      <c r="E611" s="51"/>
      <c r="F611" s="51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9"/>
      <c r="R611" s="11"/>
      <c r="S611" s="11"/>
      <c r="T611" s="11"/>
      <c r="U611" s="11"/>
      <c r="V611" s="9"/>
      <c r="W611" s="11"/>
      <c r="X611" s="11"/>
      <c r="Y611" s="52"/>
      <c r="Z611" s="11"/>
      <c r="AA611" s="11"/>
      <c r="AB611" s="11"/>
      <c r="AC611" s="11"/>
      <c r="AD611" s="11"/>
      <c r="AE611" s="11"/>
      <c r="AF611" s="11"/>
      <c r="AG611" s="10"/>
      <c r="AH611" s="10"/>
      <c r="AI611" s="10"/>
      <c r="AJ611" s="11"/>
      <c r="AK611" s="11"/>
      <c r="AM611" s="11"/>
      <c r="AN611" s="11"/>
      <c r="AO611" s="11"/>
      <c r="AP611" s="11"/>
      <c r="AQ611" s="11"/>
      <c r="AR611" s="11"/>
      <c r="AS611" s="11"/>
    </row>
    <row r="612" spans="1:45" x14ac:dyDescent="0.25">
      <c r="A612" s="11"/>
      <c r="B612" s="51" t="s">
        <v>1082</v>
      </c>
      <c r="C612" s="11"/>
      <c r="D612" s="51"/>
      <c r="E612" s="51"/>
      <c r="F612" s="51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9"/>
      <c r="R612" s="11"/>
      <c r="S612" s="11"/>
      <c r="T612" s="11"/>
      <c r="U612" s="11"/>
      <c r="V612" s="9"/>
      <c r="W612" s="11"/>
      <c r="X612" s="11"/>
      <c r="Y612" s="52"/>
      <c r="Z612" s="11"/>
      <c r="AA612" s="11"/>
      <c r="AB612" s="11"/>
      <c r="AC612" s="11"/>
      <c r="AD612" s="11"/>
      <c r="AE612" s="11"/>
      <c r="AF612" s="11"/>
      <c r="AG612" s="10"/>
      <c r="AH612" s="10"/>
      <c r="AI612" s="10"/>
      <c r="AJ612" s="11"/>
      <c r="AK612" s="11"/>
      <c r="AM612" s="11"/>
      <c r="AN612" s="11"/>
      <c r="AO612" s="11"/>
      <c r="AP612" s="11"/>
      <c r="AQ612" s="11"/>
      <c r="AR612" s="11"/>
      <c r="AS612" s="11"/>
    </row>
    <row r="613" spans="1:45" x14ac:dyDescent="0.25">
      <c r="A613" s="11"/>
      <c r="B613" s="51" t="s">
        <v>1082</v>
      </c>
      <c r="C613" s="11"/>
      <c r="D613" s="51"/>
      <c r="E613" s="51"/>
      <c r="F613" s="51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9"/>
      <c r="R613" s="11"/>
      <c r="S613" s="11"/>
      <c r="T613" s="11"/>
      <c r="U613" s="11"/>
      <c r="V613" s="9"/>
      <c r="W613" s="11"/>
      <c r="X613" s="11"/>
      <c r="Y613" s="52"/>
      <c r="Z613" s="11"/>
      <c r="AA613" s="11"/>
      <c r="AB613" s="11"/>
      <c r="AC613" s="11"/>
      <c r="AD613" s="11"/>
      <c r="AE613" s="11"/>
      <c r="AF613" s="11"/>
      <c r="AG613" s="10"/>
      <c r="AH613" s="10"/>
      <c r="AI613" s="10"/>
      <c r="AJ613" s="11"/>
      <c r="AK613" s="11"/>
      <c r="AM613" s="11"/>
      <c r="AN613" s="11"/>
      <c r="AO613" s="11"/>
      <c r="AP613" s="11"/>
      <c r="AQ613" s="11"/>
      <c r="AR613" s="11"/>
      <c r="AS613" s="11"/>
    </row>
    <row r="614" spans="1:45" x14ac:dyDescent="0.25">
      <c r="A614" s="11"/>
      <c r="B614" s="51" t="s">
        <v>1082</v>
      </c>
      <c r="C614" s="11"/>
      <c r="D614" s="51"/>
      <c r="E614" s="51"/>
      <c r="F614" s="51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9"/>
      <c r="R614" s="11"/>
      <c r="S614" s="11"/>
      <c r="T614" s="11"/>
      <c r="U614" s="11"/>
      <c r="V614" s="9"/>
      <c r="W614" s="11"/>
      <c r="X614" s="11"/>
      <c r="Y614" s="52"/>
      <c r="Z614" s="11"/>
      <c r="AA614" s="11"/>
      <c r="AB614" s="11"/>
      <c r="AC614" s="11"/>
      <c r="AD614" s="11"/>
      <c r="AE614" s="11"/>
      <c r="AF614" s="11"/>
      <c r="AG614" s="10"/>
      <c r="AH614" s="10"/>
      <c r="AI614" s="10"/>
      <c r="AJ614" s="11"/>
      <c r="AK614" s="11"/>
      <c r="AM614" s="11"/>
      <c r="AN614" s="11"/>
      <c r="AO614" s="11"/>
      <c r="AP614" s="11"/>
      <c r="AQ614" s="11"/>
      <c r="AR614" s="11"/>
      <c r="AS614" s="11"/>
    </row>
    <row r="615" spans="1:45" x14ac:dyDescent="0.25">
      <c r="A615" s="11"/>
      <c r="B615" s="51" t="s">
        <v>1082</v>
      </c>
      <c r="C615" s="11"/>
      <c r="D615" s="51"/>
      <c r="E615" s="51"/>
      <c r="F615" s="51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9"/>
      <c r="R615" s="11"/>
      <c r="S615" s="11"/>
      <c r="T615" s="11"/>
      <c r="U615" s="11"/>
      <c r="V615" s="9"/>
      <c r="W615" s="11"/>
      <c r="X615" s="11"/>
      <c r="Y615" s="52"/>
      <c r="Z615" s="11"/>
      <c r="AA615" s="11"/>
      <c r="AB615" s="11"/>
      <c r="AC615" s="11"/>
      <c r="AD615" s="11"/>
      <c r="AE615" s="11"/>
      <c r="AF615" s="11"/>
      <c r="AG615" s="10"/>
      <c r="AH615" s="10"/>
      <c r="AI615" s="10"/>
      <c r="AJ615" s="11"/>
      <c r="AK615" s="11"/>
      <c r="AM615" s="11"/>
      <c r="AN615" s="11"/>
      <c r="AO615" s="11"/>
      <c r="AP615" s="11"/>
      <c r="AQ615" s="11"/>
      <c r="AR615" s="11"/>
      <c r="AS615" s="11"/>
    </row>
    <row r="616" spans="1:45" x14ac:dyDescent="0.25">
      <c r="A616" s="11"/>
      <c r="B616" s="51" t="s">
        <v>1082</v>
      </c>
      <c r="C616" s="11"/>
      <c r="D616" s="51"/>
      <c r="E616" s="51"/>
      <c r="F616" s="51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9"/>
      <c r="R616" s="11"/>
      <c r="S616" s="11"/>
      <c r="T616" s="11"/>
      <c r="U616" s="11"/>
      <c r="V616" s="9"/>
      <c r="W616" s="11"/>
      <c r="X616" s="11"/>
      <c r="Y616" s="52"/>
      <c r="Z616" s="11"/>
      <c r="AA616" s="11"/>
      <c r="AB616" s="11"/>
      <c r="AC616" s="11"/>
      <c r="AD616" s="11"/>
      <c r="AE616" s="11"/>
      <c r="AF616" s="11"/>
      <c r="AG616" s="10"/>
      <c r="AH616" s="10"/>
      <c r="AI616" s="10"/>
      <c r="AJ616" s="11"/>
      <c r="AK616" s="11"/>
      <c r="AM616" s="11"/>
      <c r="AN616" s="11"/>
      <c r="AO616" s="11"/>
      <c r="AP616" s="11"/>
      <c r="AQ616" s="11"/>
      <c r="AR616" s="11"/>
      <c r="AS616" s="11"/>
    </row>
    <row r="617" spans="1:45" x14ac:dyDescent="0.25">
      <c r="A617" s="11"/>
      <c r="B617" s="51" t="s">
        <v>1082</v>
      </c>
      <c r="C617" s="11"/>
      <c r="D617" s="51"/>
      <c r="E617" s="51"/>
      <c r="F617" s="51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9"/>
      <c r="R617" s="11"/>
      <c r="S617" s="11"/>
      <c r="T617" s="11"/>
      <c r="U617" s="11"/>
      <c r="V617" s="9"/>
      <c r="W617" s="11"/>
      <c r="X617" s="11"/>
      <c r="Y617" s="52"/>
      <c r="Z617" s="11"/>
      <c r="AA617" s="11"/>
      <c r="AB617" s="11"/>
      <c r="AC617" s="11"/>
      <c r="AD617" s="11"/>
      <c r="AE617" s="11"/>
      <c r="AF617" s="11"/>
      <c r="AG617" s="10"/>
      <c r="AH617" s="10"/>
      <c r="AI617" s="10"/>
      <c r="AJ617" s="11"/>
      <c r="AK617" s="11"/>
      <c r="AM617" s="11"/>
      <c r="AN617" s="11"/>
      <c r="AO617" s="11"/>
      <c r="AP617" s="11"/>
      <c r="AQ617" s="11"/>
      <c r="AR617" s="11"/>
      <c r="AS617" s="11"/>
    </row>
    <row r="618" spans="1:45" x14ac:dyDescent="0.25">
      <c r="A618" s="11"/>
      <c r="B618" s="51" t="s">
        <v>1082</v>
      </c>
      <c r="C618" s="11"/>
      <c r="D618" s="51"/>
      <c r="E618" s="51"/>
      <c r="F618" s="51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9"/>
      <c r="R618" s="11"/>
      <c r="S618" s="11"/>
      <c r="T618" s="11"/>
      <c r="U618" s="11"/>
      <c r="V618" s="9"/>
      <c r="W618" s="11"/>
      <c r="X618" s="11"/>
      <c r="Y618" s="52"/>
      <c r="Z618" s="11"/>
      <c r="AA618" s="11"/>
      <c r="AB618" s="11"/>
      <c r="AC618" s="11"/>
      <c r="AD618" s="11"/>
      <c r="AE618" s="11"/>
      <c r="AF618" s="11"/>
      <c r="AG618" s="10"/>
      <c r="AH618" s="10"/>
      <c r="AI618" s="10"/>
      <c r="AJ618" s="11"/>
      <c r="AK618" s="11"/>
      <c r="AM618" s="11"/>
      <c r="AN618" s="11"/>
      <c r="AO618" s="11"/>
      <c r="AP618" s="11"/>
      <c r="AQ618" s="11"/>
      <c r="AR618" s="11"/>
      <c r="AS618" s="11"/>
    </row>
    <row r="619" spans="1:45" x14ac:dyDescent="0.25">
      <c r="A619" s="11"/>
      <c r="B619" s="51" t="s">
        <v>1082</v>
      </c>
      <c r="C619" s="11"/>
      <c r="D619" s="51"/>
      <c r="E619" s="51"/>
      <c r="F619" s="51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9"/>
      <c r="R619" s="11"/>
      <c r="S619" s="11"/>
      <c r="T619" s="11"/>
      <c r="U619" s="11"/>
      <c r="V619" s="9"/>
      <c r="W619" s="11"/>
      <c r="X619" s="11"/>
      <c r="Y619" s="52"/>
      <c r="Z619" s="11"/>
      <c r="AA619" s="11"/>
      <c r="AB619" s="11"/>
      <c r="AC619" s="11"/>
      <c r="AD619" s="11"/>
      <c r="AE619" s="11"/>
      <c r="AF619" s="11"/>
      <c r="AG619" s="10"/>
      <c r="AH619" s="10"/>
      <c r="AI619" s="10"/>
      <c r="AJ619" s="11"/>
      <c r="AK619" s="11"/>
      <c r="AM619" s="11"/>
      <c r="AN619" s="11"/>
      <c r="AO619" s="11"/>
      <c r="AP619" s="11"/>
      <c r="AQ619" s="11"/>
      <c r="AR619" s="11"/>
      <c r="AS619" s="11"/>
    </row>
    <row r="620" spans="1:45" x14ac:dyDescent="0.25">
      <c r="A620" s="11"/>
      <c r="B620" s="51" t="s">
        <v>1082</v>
      </c>
      <c r="C620" s="11"/>
      <c r="D620" s="51"/>
      <c r="E620" s="51"/>
      <c r="F620" s="51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9"/>
      <c r="R620" s="11"/>
      <c r="S620" s="11"/>
      <c r="T620" s="11"/>
      <c r="U620" s="11"/>
      <c r="V620" s="9"/>
      <c r="W620" s="11"/>
      <c r="X620" s="11"/>
      <c r="Y620" s="52"/>
      <c r="Z620" s="11"/>
      <c r="AA620" s="11"/>
      <c r="AB620" s="11"/>
      <c r="AC620" s="11"/>
      <c r="AD620" s="11"/>
      <c r="AE620" s="11"/>
      <c r="AF620" s="11"/>
      <c r="AG620" s="10"/>
      <c r="AH620" s="10"/>
      <c r="AI620" s="10"/>
      <c r="AJ620" s="11"/>
      <c r="AK620" s="11"/>
      <c r="AM620" s="11"/>
      <c r="AN620" s="11"/>
      <c r="AO620" s="11"/>
      <c r="AP620" s="11"/>
      <c r="AQ620" s="11"/>
      <c r="AR620" s="11"/>
      <c r="AS620" s="11"/>
    </row>
    <row r="621" spans="1:45" x14ac:dyDescent="0.25">
      <c r="A621" s="11"/>
      <c r="B621" s="51" t="s">
        <v>1082</v>
      </c>
      <c r="C621" s="11"/>
      <c r="D621" s="51"/>
      <c r="E621" s="51"/>
      <c r="F621" s="5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9"/>
      <c r="R621" s="11"/>
      <c r="S621" s="11"/>
      <c r="T621" s="11"/>
      <c r="U621" s="11"/>
      <c r="V621" s="9"/>
      <c r="W621" s="11"/>
      <c r="X621" s="11"/>
      <c r="Y621" s="52"/>
      <c r="Z621" s="11"/>
      <c r="AA621" s="11"/>
      <c r="AB621" s="11"/>
      <c r="AC621" s="11"/>
      <c r="AD621" s="11"/>
      <c r="AE621" s="11"/>
      <c r="AF621" s="11"/>
      <c r="AG621" s="10"/>
      <c r="AH621" s="10"/>
      <c r="AI621" s="10"/>
      <c r="AJ621" s="11"/>
      <c r="AK621" s="11"/>
      <c r="AM621" s="11"/>
      <c r="AN621" s="11"/>
      <c r="AO621" s="11"/>
      <c r="AP621" s="11"/>
      <c r="AQ621" s="11"/>
      <c r="AR621" s="11"/>
      <c r="AS621" s="11"/>
    </row>
    <row r="622" spans="1:45" x14ac:dyDescent="0.25">
      <c r="A622" s="11"/>
      <c r="B622" s="51" t="s">
        <v>1082</v>
      </c>
      <c r="C622" s="11"/>
      <c r="D622" s="51"/>
      <c r="E622" s="51"/>
      <c r="F622" s="51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9"/>
      <c r="R622" s="11"/>
      <c r="S622" s="11"/>
      <c r="T622" s="11"/>
      <c r="U622" s="11"/>
      <c r="V622" s="9"/>
      <c r="W622" s="11"/>
      <c r="X622" s="11"/>
      <c r="Y622" s="52"/>
      <c r="Z622" s="11"/>
      <c r="AA622" s="11"/>
      <c r="AB622" s="11"/>
      <c r="AC622" s="11"/>
      <c r="AD622" s="11"/>
      <c r="AE622" s="11"/>
      <c r="AF622" s="11"/>
      <c r="AG622" s="10"/>
      <c r="AH622" s="10"/>
      <c r="AI622" s="10"/>
      <c r="AJ622" s="11"/>
      <c r="AK622" s="11"/>
      <c r="AM622" s="11"/>
      <c r="AN622" s="11"/>
      <c r="AO622" s="11"/>
      <c r="AP622" s="11"/>
      <c r="AQ622" s="11"/>
      <c r="AR622" s="11"/>
      <c r="AS622" s="11"/>
    </row>
    <row r="623" spans="1:45" x14ac:dyDescent="0.25">
      <c r="A623" s="11"/>
      <c r="B623" s="51" t="s">
        <v>1082</v>
      </c>
      <c r="C623" s="11"/>
      <c r="D623" s="51"/>
      <c r="E623" s="51"/>
      <c r="F623" s="51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9"/>
      <c r="R623" s="11"/>
      <c r="S623" s="11"/>
      <c r="T623" s="11"/>
      <c r="U623" s="11"/>
      <c r="V623" s="9"/>
      <c r="W623" s="11"/>
      <c r="X623" s="11"/>
      <c r="Y623" s="52"/>
      <c r="Z623" s="11"/>
      <c r="AA623" s="11"/>
      <c r="AB623" s="11"/>
      <c r="AC623" s="11"/>
      <c r="AD623" s="11"/>
      <c r="AE623" s="11"/>
      <c r="AF623" s="11"/>
      <c r="AG623" s="10"/>
      <c r="AH623" s="10"/>
      <c r="AI623" s="10"/>
      <c r="AJ623" s="11"/>
      <c r="AK623" s="11"/>
      <c r="AM623" s="11"/>
      <c r="AN623" s="11"/>
      <c r="AO623" s="11"/>
      <c r="AP623" s="11"/>
      <c r="AQ623" s="11"/>
      <c r="AR623" s="11"/>
      <c r="AS623" s="11"/>
    </row>
    <row r="624" spans="1:45" x14ac:dyDescent="0.25">
      <c r="A624" s="11"/>
      <c r="B624" s="51" t="s">
        <v>1082</v>
      </c>
      <c r="C624" s="11"/>
      <c r="D624" s="51"/>
      <c r="E624" s="51"/>
      <c r="F624" s="51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9"/>
      <c r="R624" s="11"/>
      <c r="S624" s="11"/>
      <c r="T624" s="11"/>
      <c r="U624" s="11"/>
      <c r="V624" s="9"/>
      <c r="W624" s="11"/>
      <c r="X624" s="11"/>
      <c r="Y624" s="52"/>
      <c r="Z624" s="11"/>
      <c r="AA624" s="11"/>
      <c r="AB624" s="11"/>
      <c r="AC624" s="11"/>
      <c r="AD624" s="11"/>
      <c r="AE624" s="11"/>
      <c r="AF624" s="11"/>
      <c r="AG624" s="10"/>
      <c r="AH624" s="10"/>
      <c r="AI624" s="10"/>
      <c r="AJ624" s="11"/>
      <c r="AK624" s="11"/>
      <c r="AM624" s="11"/>
      <c r="AN624" s="11"/>
      <c r="AO624" s="11"/>
      <c r="AP624" s="11"/>
      <c r="AQ624" s="11"/>
      <c r="AR624" s="11"/>
      <c r="AS624" s="11"/>
    </row>
    <row r="625" spans="1:45" x14ac:dyDescent="0.25">
      <c r="A625" s="11"/>
      <c r="B625" s="51" t="s">
        <v>1082</v>
      </c>
      <c r="C625" s="11"/>
      <c r="D625" s="51"/>
      <c r="E625" s="51"/>
      <c r="F625" s="51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9"/>
      <c r="R625" s="11"/>
      <c r="S625" s="11"/>
      <c r="T625" s="11"/>
      <c r="U625" s="11"/>
      <c r="V625" s="9"/>
      <c r="W625" s="11"/>
      <c r="X625" s="11"/>
      <c r="Y625" s="52"/>
      <c r="Z625" s="11"/>
      <c r="AA625" s="11"/>
      <c r="AB625" s="11"/>
      <c r="AC625" s="11"/>
      <c r="AD625" s="11"/>
      <c r="AE625" s="11"/>
      <c r="AF625" s="11"/>
      <c r="AG625" s="10"/>
      <c r="AH625" s="10"/>
      <c r="AI625" s="10"/>
      <c r="AJ625" s="11"/>
      <c r="AK625" s="11"/>
      <c r="AM625" s="11"/>
      <c r="AN625" s="11"/>
      <c r="AO625" s="11"/>
      <c r="AP625" s="11"/>
      <c r="AQ625" s="11"/>
      <c r="AR625" s="11"/>
      <c r="AS625" s="11"/>
    </row>
    <row r="626" spans="1:45" x14ac:dyDescent="0.25">
      <c r="A626" s="11"/>
      <c r="B626" s="51" t="s">
        <v>1082</v>
      </c>
      <c r="C626" s="11"/>
      <c r="D626" s="51"/>
      <c r="E626" s="51"/>
      <c r="F626" s="51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9"/>
      <c r="R626" s="11"/>
      <c r="S626" s="11"/>
      <c r="T626" s="11"/>
      <c r="U626" s="11"/>
      <c r="V626" s="9"/>
      <c r="W626" s="11"/>
      <c r="X626" s="11"/>
      <c r="Y626" s="52"/>
      <c r="Z626" s="11"/>
      <c r="AA626" s="11"/>
      <c r="AB626" s="11"/>
      <c r="AC626" s="11"/>
      <c r="AD626" s="11"/>
      <c r="AE626" s="11"/>
      <c r="AF626" s="11"/>
      <c r="AG626" s="10"/>
      <c r="AH626" s="10"/>
      <c r="AI626" s="10"/>
      <c r="AJ626" s="11"/>
      <c r="AK626" s="11"/>
      <c r="AM626" s="11"/>
      <c r="AN626" s="11"/>
      <c r="AO626" s="11"/>
      <c r="AP626" s="11"/>
      <c r="AQ626" s="11"/>
      <c r="AR626" s="11"/>
      <c r="AS626" s="11"/>
    </row>
    <row r="627" spans="1:45" x14ac:dyDescent="0.25">
      <c r="A627" s="11"/>
      <c r="B627" s="51" t="s">
        <v>1082</v>
      </c>
      <c r="C627" s="11"/>
      <c r="D627" s="51"/>
      <c r="E627" s="51"/>
      <c r="F627" s="51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9"/>
      <c r="R627" s="11"/>
      <c r="S627" s="11"/>
      <c r="T627" s="11"/>
      <c r="U627" s="11"/>
      <c r="V627" s="9"/>
      <c r="W627" s="11"/>
      <c r="X627" s="11"/>
      <c r="Y627" s="52"/>
      <c r="Z627" s="11"/>
      <c r="AA627" s="11"/>
      <c r="AB627" s="11"/>
      <c r="AC627" s="11"/>
      <c r="AD627" s="11"/>
      <c r="AE627" s="11"/>
      <c r="AF627" s="11"/>
      <c r="AG627" s="10"/>
      <c r="AH627" s="10"/>
      <c r="AI627" s="10"/>
      <c r="AJ627" s="11"/>
      <c r="AK627" s="11"/>
      <c r="AM627" s="11"/>
      <c r="AN627" s="11"/>
      <c r="AO627" s="11"/>
      <c r="AP627" s="11"/>
      <c r="AQ627" s="11"/>
      <c r="AR627" s="11"/>
      <c r="AS627" s="11"/>
    </row>
    <row r="628" spans="1:45" x14ac:dyDescent="0.25">
      <c r="A628" s="11"/>
      <c r="B628" s="51" t="s">
        <v>1082</v>
      </c>
      <c r="C628" s="11"/>
      <c r="D628" s="51"/>
      <c r="E628" s="51"/>
      <c r="F628" s="51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9"/>
      <c r="R628" s="11"/>
      <c r="S628" s="11"/>
      <c r="T628" s="11"/>
      <c r="U628" s="11"/>
      <c r="V628" s="9"/>
      <c r="W628" s="11"/>
      <c r="X628" s="11"/>
      <c r="Y628" s="52"/>
      <c r="Z628" s="11"/>
      <c r="AA628" s="11"/>
      <c r="AB628" s="11"/>
      <c r="AC628" s="11"/>
      <c r="AD628" s="11"/>
      <c r="AE628" s="11"/>
      <c r="AF628" s="11"/>
      <c r="AG628" s="10"/>
      <c r="AH628" s="10"/>
      <c r="AI628" s="10"/>
      <c r="AJ628" s="11"/>
      <c r="AK628" s="11"/>
      <c r="AM628" s="11"/>
      <c r="AN628" s="11"/>
      <c r="AO628" s="11"/>
      <c r="AP628" s="11"/>
      <c r="AQ628" s="11"/>
      <c r="AR628" s="11"/>
      <c r="AS628" s="11"/>
    </row>
    <row r="629" spans="1:45" x14ac:dyDescent="0.25">
      <c r="A629" s="11"/>
      <c r="B629" s="51" t="s">
        <v>1082</v>
      </c>
      <c r="C629" s="11"/>
      <c r="D629" s="51"/>
      <c r="E629" s="51"/>
      <c r="F629" s="51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9"/>
      <c r="R629" s="11"/>
      <c r="S629" s="11"/>
      <c r="T629" s="11"/>
      <c r="U629" s="11"/>
      <c r="V629" s="9"/>
      <c r="W629" s="11"/>
      <c r="X629" s="11"/>
      <c r="Y629" s="52"/>
      <c r="Z629" s="11"/>
      <c r="AA629" s="11"/>
      <c r="AB629" s="11"/>
      <c r="AC629" s="11"/>
      <c r="AD629" s="11"/>
      <c r="AE629" s="11"/>
      <c r="AF629" s="11"/>
      <c r="AG629" s="10"/>
      <c r="AH629" s="10"/>
      <c r="AI629" s="10"/>
      <c r="AJ629" s="11"/>
      <c r="AK629" s="11"/>
      <c r="AM629" s="11"/>
      <c r="AN629" s="11"/>
      <c r="AO629" s="11"/>
      <c r="AP629" s="11"/>
      <c r="AQ629" s="11"/>
      <c r="AR629" s="11"/>
      <c r="AS629" s="11"/>
    </row>
    <row r="630" spans="1:45" x14ac:dyDescent="0.25">
      <c r="A630" s="11"/>
      <c r="B630" s="51" t="s">
        <v>1082</v>
      </c>
      <c r="C630" s="11"/>
      <c r="D630" s="51"/>
      <c r="E630" s="51"/>
      <c r="F630" s="51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9"/>
      <c r="R630" s="11"/>
      <c r="S630" s="11"/>
      <c r="T630" s="11"/>
      <c r="U630" s="11"/>
      <c r="V630" s="9"/>
      <c r="W630" s="11"/>
      <c r="X630" s="11"/>
      <c r="Y630" s="52"/>
      <c r="Z630" s="11"/>
      <c r="AA630" s="11"/>
      <c r="AB630" s="11"/>
      <c r="AC630" s="11"/>
      <c r="AD630" s="11"/>
      <c r="AE630" s="11"/>
      <c r="AF630" s="11"/>
      <c r="AG630" s="10"/>
      <c r="AH630" s="10"/>
      <c r="AI630" s="10"/>
      <c r="AJ630" s="11"/>
      <c r="AK630" s="11"/>
      <c r="AM630" s="11"/>
      <c r="AN630" s="11"/>
      <c r="AO630" s="11"/>
      <c r="AP630" s="11"/>
      <c r="AQ630" s="11"/>
      <c r="AR630" s="11"/>
      <c r="AS630" s="11"/>
    </row>
    <row r="631" spans="1:45" x14ac:dyDescent="0.25">
      <c r="A631" s="11"/>
      <c r="B631" s="51" t="s">
        <v>1082</v>
      </c>
      <c r="C631" s="11"/>
      <c r="D631" s="51"/>
      <c r="E631" s="51"/>
      <c r="F631" s="51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9"/>
      <c r="R631" s="11"/>
      <c r="S631" s="11"/>
      <c r="T631" s="11"/>
      <c r="U631" s="11"/>
      <c r="V631" s="9"/>
      <c r="W631" s="11"/>
      <c r="X631" s="11"/>
      <c r="Y631" s="52"/>
      <c r="Z631" s="11"/>
      <c r="AA631" s="11"/>
      <c r="AB631" s="11"/>
      <c r="AC631" s="11"/>
      <c r="AD631" s="11"/>
      <c r="AE631" s="11"/>
      <c r="AF631" s="11"/>
      <c r="AG631" s="10"/>
      <c r="AH631" s="10"/>
      <c r="AI631" s="10"/>
      <c r="AJ631" s="11"/>
      <c r="AK631" s="11"/>
      <c r="AM631" s="11"/>
      <c r="AN631" s="11"/>
      <c r="AO631" s="11"/>
      <c r="AP631" s="11"/>
      <c r="AQ631" s="11"/>
      <c r="AR631" s="11"/>
      <c r="AS631" s="11"/>
    </row>
    <row r="632" spans="1:45" x14ac:dyDescent="0.25">
      <c r="A632" s="11"/>
      <c r="B632" s="51" t="s">
        <v>1082</v>
      </c>
      <c r="C632" s="11"/>
      <c r="D632" s="51"/>
      <c r="E632" s="51"/>
      <c r="F632" s="51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9"/>
      <c r="R632" s="11"/>
      <c r="S632" s="11"/>
      <c r="T632" s="11"/>
      <c r="U632" s="11"/>
      <c r="V632" s="9"/>
      <c r="W632" s="11"/>
      <c r="X632" s="11"/>
      <c r="Y632" s="52"/>
      <c r="Z632" s="11"/>
      <c r="AA632" s="11"/>
      <c r="AB632" s="11"/>
      <c r="AC632" s="11"/>
      <c r="AD632" s="11"/>
      <c r="AE632" s="11"/>
      <c r="AF632" s="11"/>
      <c r="AG632" s="10"/>
      <c r="AH632" s="10"/>
      <c r="AI632" s="10"/>
      <c r="AJ632" s="11"/>
      <c r="AK632" s="11"/>
      <c r="AM632" s="11"/>
      <c r="AN632" s="11"/>
      <c r="AO632" s="11"/>
      <c r="AP632" s="11"/>
      <c r="AQ632" s="11"/>
      <c r="AR632" s="11"/>
      <c r="AS632" s="11"/>
    </row>
    <row r="633" spans="1:45" x14ac:dyDescent="0.25">
      <c r="A633" s="11"/>
      <c r="B633" s="51" t="s">
        <v>1082</v>
      </c>
      <c r="C633" s="11"/>
      <c r="D633" s="51"/>
      <c r="E633" s="51"/>
      <c r="F633" s="51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9"/>
      <c r="R633" s="11"/>
      <c r="S633" s="11"/>
      <c r="T633" s="11"/>
      <c r="U633" s="11"/>
      <c r="V633" s="9"/>
      <c r="W633" s="11"/>
      <c r="X633" s="11"/>
      <c r="Y633" s="52"/>
      <c r="Z633" s="11"/>
      <c r="AA633" s="11"/>
      <c r="AB633" s="11"/>
      <c r="AC633" s="11"/>
      <c r="AD633" s="11"/>
      <c r="AE633" s="11"/>
      <c r="AF633" s="11"/>
      <c r="AG633" s="10"/>
      <c r="AH633" s="10"/>
      <c r="AI633" s="10"/>
      <c r="AJ633" s="11"/>
      <c r="AK633" s="11"/>
      <c r="AM633" s="11"/>
      <c r="AN633" s="11"/>
      <c r="AO633" s="11"/>
      <c r="AP633" s="11"/>
      <c r="AQ633" s="11"/>
      <c r="AR633" s="11"/>
      <c r="AS633" s="11"/>
    </row>
    <row r="634" spans="1:45" x14ac:dyDescent="0.25">
      <c r="A634" s="11"/>
      <c r="B634" s="51" t="s">
        <v>1082</v>
      </c>
      <c r="C634" s="11"/>
      <c r="D634" s="51"/>
      <c r="E634" s="51"/>
      <c r="F634" s="51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9"/>
      <c r="R634" s="11"/>
      <c r="S634" s="11"/>
      <c r="T634" s="11"/>
      <c r="U634" s="11"/>
      <c r="V634" s="9"/>
      <c r="W634" s="11"/>
      <c r="X634" s="11"/>
      <c r="Y634" s="52"/>
      <c r="Z634" s="11"/>
      <c r="AA634" s="11"/>
      <c r="AB634" s="11"/>
      <c r="AC634" s="11"/>
      <c r="AD634" s="11"/>
      <c r="AE634" s="11"/>
      <c r="AF634" s="11"/>
      <c r="AG634" s="10"/>
      <c r="AH634" s="10"/>
      <c r="AI634" s="10"/>
      <c r="AJ634" s="11"/>
      <c r="AK634" s="11"/>
      <c r="AM634" s="11"/>
      <c r="AN634" s="11"/>
      <c r="AO634" s="11"/>
      <c r="AP634" s="11"/>
      <c r="AQ634" s="11"/>
      <c r="AR634" s="11"/>
      <c r="AS634" s="11"/>
    </row>
    <row r="635" spans="1:45" x14ac:dyDescent="0.25">
      <c r="A635" s="11"/>
      <c r="B635" s="51" t="s">
        <v>1082</v>
      </c>
      <c r="C635" s="11"/>
      <c r="D635" s="51"/>
      <c r="E635" s="51"/>
      <c r="F635" s="51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9"/>
      <c r="R635" s="11"/>
      <c r="S635" s="11"/>
      <c r="T635" s="11"/>
      <c r="U635" s="11"/>
      <c r="V635" s="9"/>
      <c r="W635" s="11"/>
      <c r="X635" s="11"/>
      <c r="Y635" s="52"/>
      <c r="Z635" s="11"/>
      <c r="AA635" s="11"/>
      <c r="AB635" s="11"/>
      <c r="AC635" s="11"/>
      <c r="AD635" s="11"/>
      <c r="AE635" s="11"/>
      <c r="AF635" s="11"/>
      <c r="AG635" s="10"/>
      <c r="AH635" s="10"/>
      <c r="AI635" s="10"/>
      <c r="AJ635" s="11"/>
      <c r="AK635" s="11"/>
      <c r="AM635" s="11"/>
      <c r="AN635" s="11"/>
      <c r="AO635" s="11"/>
      <c r="AP635" s="11"/>
      <c r="AQ635" s="11"/>
      <c r="AR635" s="11"/>
      <c r="AS635" s="11"/>
    </row>
    <row r="636" spans="1:45" x14ac:dyDescent="0.25">
      <c r="A636" s="11"/>
      <c r="B636" s="51" t="s">
        <v>1082</v>
      </c>
      <c r="C636" s="11"/>
      <c r="D636" s="51"/>
      <c r="E636" s="51"/>
      <c r="F636" s="51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9"/>
      <c r="R636" s="11"/>
      <c r="S636" s="11"/>
      <c r="T636" s="11"/>
      <c r="U636" s="11"/>
      <c r="V636" s="9"/>
      <c r="W636" s="11"/>
      <c r="X636" s="11"/>
      <c r="Y636" s="52"/>
      <c r="Z636" s="11"/>
      <c r="AA636" s="11"/>
      <c r="AB636" s="11"/>
      <c r="AC636" s="11"/>
      <c r="AD636" s="11"/>
      <c r="AE636" s="11"/>
      <c r="AF636" s="11"/>
      <c r="AG636" s="10"/>
      <c r="AH636" s="10"/>
      <c r="AI636" s="10"/>
      <c r="AJ636" s="11"/>
      <c r="AK636" s="11"/>
      <c r="AM636" s="11"/>
      <c r="AN636" s="11"/>
      <c r="AO636" s="11"/>
      <c r="AP636" s="11"/>
      <c r="AQ636" s="11"/>
      <c r="AR636" s="11"/>
      <c r="AS636" s="11"/>
    </row>
    <row r="637" spans="1:45" x14ac:dyDescent="0.25">
      <c r="A637" s="11"/>
      <c r="B637" s="51" t="s">
        <v>1082</v>
      </c>
      <c r="C637" s="11"/>
      <c r="D637" s="51"/>
      <c r="E637" s="51"/>
      <c r="F637" s="51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9"/>
      <c r="R637" s="11"/>
      <c r="S637" s="11"/>
      <c r="T637" s="11"/>
      <c r="U637" s="11"/>
      <c r="V637" s="9"/>
      <c r="W637" s="11"/>
      <c r="X637" s="11"/>
      <c r="Y637" s="52"/>
      <c r="Z637" s="11"/>
      <c r="AA637" s="11"/>
      <c r="AB637" s="11"/>
      <c r="AC637" s="11"/>
      <c r="AD637" s="11"/>
      <c r="AE637" s="11"/>
      <c r="AF637" s="11"/>
      <c r="AG637" s="10"/>
      <c r="AH637" s="10"/>
      <c r="AI637" s="10"/>
      <c r="AJ637" s="11"/>
      <c r="AK637" s="11"/>
      <c r="AM637" s="11"/>
      <c r="AN637" s="11"/>
      <c r="AO637" s="11"/>
      <c r="AP637" s="11"/>
      <c r="AQ637" s="11"/>
      <c r="AR637" s="11"/>
      <c r="AS637" s="11"/>
    </row>
    <row r="638" spans="1:45" x14ac:dyDescent="0.25">
      <c r="A638" s="11"/>
      <c r="B638" s="51" t="s">
        <v>1082</v>
      </c>
      <c r="C638" s="11"/>
      <c r="D638" s="51"/>
      <c r="E638" s="51"/>
      <c r="F638" s="51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9"/>
      <c r="R638" s="11"/>
      <c r="S638" s="11"/>
      <c r="T638" s="11"/>
      <c r="U638" s="11"/>
      <c r="V638" s="9"/>
      <c r="W638" s="11"/>
      <c r="X638" s="11"/>
      <c r="Y638" s="52"/>
      <c r="Z638" s="11"/>
      <c r="AA638" s="11"/>
      <c r="AB638" s="11"/>
      <c r="AC638" s="11"/>
      <c r="AD638" s="11"/>
      <c r="AE638" s="11"/>
      <c r="AF638" s="11"/>
      <c r="AG638" s="10"/>
      <c r="AH638" s="10"/>
      <c r="AI638" s="10"/>
      <c r="AJ638" s="11"/>
      <c r="AK638" s="11"/>
      <c r="AM638" s="11"/>
      <c r="AN638" s="11"/>
      <c r="AO638" s="11"/>
      <c r="AP638" s="11"/>
      <c r="AQ638" s="11"/>
      <c r="AR638" s="11"/>
      <c r="AS638" s="11"/>
    </row>
    <row r="639" spans="1:45" x14ac:dyDescent="0.25">
      <c r="A639" s="11"/>
      <c r="B639" s="51" t="s">
        <v>1082</v>
      </c>
      <c r="C639" s="11"/>
      <c r="D639" s="51"/>
      <c r="E639" s="51"/>
      <c r="F639" s="51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9"/>
      <c r="R639" s="11"/>
      <c r="S639" s="11"/>
      <c r="T639" s="11"/>
      <c r="U639" s="11"/>
      <c r="V639" s="9"/>
      <c r="W639" s="11"/>
      <c r="X639" s="11"/>
      <c r="Y639" s="52"/>
      <c r="Z639" s="11"/>
      <c r="AA639" s="11"/>
      <c r="AB639" s="11"/>
      <c r="AC639" s="11"/>
      <c r="AD639" s="11"/>
      <c r="AE639" s="11"/>
      <c r="AF639" s="11"/>
      <c r="AG639" s="10"/>
      <c r="AH639" s="10"/>
      <c r="AI639" s="10"/>
      <c r="AJ639" s="11"/>
      <c r="AK639" s="11"/>
      <c r="AM639" s="11"/>
      <c r="AN639" s="11"/>
      <c r="AO639" s="11"/>
      <c r="AP639" s="11"/>
      <c r="AQ639" s="11"/>
      <c r="AR639" s="11"/>
      <c r="AS639" s="11"/>
    </row>
    <row r="640" spans="1:45" x14ac:dyDescent="0.25">
      <c r="A640" s="11"/>
      <c r="B640" s="51" t="s">
        <v>1082</v>
      </c>
      <c r="C640" s="11"/>
      <c r="D640" s="51"/>
      <c r="E640" s="51"/>
      <c r="F640" s="51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9"/>
      <c r="R640" s="11"/>
      <c r="S640" s="11"/>
      <c r="T640" s="11"/>
      <c r="U640" s="11"/>
      <c r="V640" s="9"/>
      <c r="W640" s="11"/>
      <c r="X640" s="11"/>
      <c r="Y640" s="52"/>
      <c r="Z640" s="11"/>
      <c r="AA640" s="11"/>
      <c r="AB640" s="11"/>
      <c r="AC640" s="11"/>
      <c r="AD640" s="11"/>
      <c r="AE640" s="11"/>
      <c r="AF640" s="11"/>
      <c r="AG640" s="10"/>
      <c r="AH640" s="10"/>
      <c r="AI640" s="10"/>
      <c r="AJ640" s="11"/>
      <c r="AK640" s="11"/>
      <c r="AM640" s="11"/>
      <c r="AN640" s="11"/>
      <c r="AO640" s="11"/>
      <c r="AP640" s="11"/>
      <c r="AQ640" s="11"/>
      <c r="AR640" s="11"/>
      <c r="AS640" s="11"/>
    </row>
    <row r="641" spans="1:45" x14ac:dyDescent="0.25">
      <c r="A641" s="11"/>
      <c r="B641" s="51" t="s">
        <v>1082</v>
      </c>
      <c r="C641" s="11"/>
      <c r="D641" s="51"/>
      <c r="E641" s="51"/>
      <c r="F641" s="5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9"/>
      <c r="R641" s="11"/>
      <c r="S641" s="11"/>
      <c r="T641" s="11"/>
      <c r="U641" s="11"/>
      <c r="V641" s="9"/>
      <c r="W641" s="11"/>
      <c r="X641" s="11"/>
      <c r="Y641" s="52"/>
      <c r="Z641" s="11"/>
      <c r="AA641" s="11"/>
      <c r="AB641" s="11"/>
      <c r="AC641" s="11"/>
      <c r="AD641" s="11"/>
      <c r="AE641" s="11"/>
      <c r="AF641" s="11"/>
      <c r="AG641" s="10"/>
      <c r="AH641" s="10"/>
      <c r="AI641" s="10"/>
      <c r="AJ641" s="11"/>
      <c r="AK641" s="11"/>
      <c r="AM641" s="11"/>
      <c r="AN641" s="11"/>
      <c r="AO641" s="11"/>
      <c r="AP641" s="11"/>
      <c r="AQ641" s="11"/>
      <c r="AR641" s="11"/>
      <c r="AS641" s="11"/>
    </row>
    <row r="642" spans="1:45" x14ac:dyDescent="0.25">
      <c r="A642" s="11"/>
      <c r="B642" s="51" t="s">
        <v>1082</v>
      </c>
      <c r="C642" s="11"/>
      <c r="D642" s="51"/>
      <c r="E642" s="51"/>
      <c r="F642" s="51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9"/>
      <c r="R642" s="11"/>
      <c r="S642" s="11"/>
      <c r="T642" s="11"/>
      <c r="U642" s="11"/>
      <c r="V642" s="9"/>
      <c r="W642" s="11"/>
      <c r="X642" s="11"/>
      <c r="Y642" s="52"/>
      <c r="Z642" s="11"/>
      <c r="AA642" s="11"/>
      <c r="AB642" s="11"/>
      <c r="AC642" s="11"/>
      <c r="AD642" s="11"/>
      <c r="AE642" s="11"/>
      <c r="AF642" s="11"/>
      <c r="AG642" s="10"/>
      <c r="AH642" s="10"/>
      <c r="AI642" s="10"/>
      <c r="AJ642" s="11"/>
      <c r="AK642" s="11"/>
      <c r="AM642" s="11"/>
      <c r="AN642" s="11"/>
      <c r="AO642" s="11"/>
      <c r="AP642" s="11"/>
      <c r="AQ642" s="11"/>
      <c r="AR642" s="11"/>
      <c r="AS642" s="11"/>
    </row>
    <row r="643" spans="1:45" x14ac:dyDescent="0.25">
      <c r="A643" s="11"/>
      <c r="B643" s="51" t="s">
        <v>1082</v>
      </c>
      <c r="C643" s="11"/>
      <c r="D643" s="51"/>
      <c r="E643" s="51"/>
      <c r="F643" s="51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9"/>
      <c r="R643" s="11"/>
      <c r="S643" s="11"/>
      <c r="T643" s="11"/>
      <c r="U643" s="11"/>
      <c r="V643" s="9"/>
      <c r="W643" s="11"/>
      <c r="X643" s="11"/>
      <c r="Y643" s="52"/>
      <c r="Z643" s="11"/>
      <c r="AA643" s="11"/>
      <c r="AB643" s="11"/>
      <c r="AC643" s="11"/>
      <c r="AD643" s="11"/>
      <c r="AE643" s="11"/>
      <c r="AF643" s="11"/>
      <c r="AG643" s="10"/>
      <c r="AH643" s="10"/>
      <c r="AI643" s="10"/>
      <c r="AJ643" s="11"/>
      <c r="AK643" s="11"/>
      <c r="AM643" s="11"/>
      <c r="AN643" s="11"/>
      <c r="AO643" s="11"/>
      <c r="AP643" s="11"/>
      <c r="AQ643" s="11"/>
      <c r="AR643" s="11"/>
      <c r="AS643" s="11"/>
    </row>
    <row r="644" spans="1:45" x14ac:dyDescent="0.25">
      <c r="A644" s="11"/>
      <c r="B644" s="51" t="s">
        <v>1082</v>
      </c>
      <c r="C644" s="11"/>
      <c r="D644" s="51"/>
      <c r="E644" s="51"/>
      <c r="F644" s="51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9"/>
      <c r="R644" s="11"/>
      <c r="S644" s="11"/>
      <c r="T644" s="11"/>
      <c r="U644" s="11"/>
      <c r="V644" s="9"/>
      <c r="W644" s="11"/>
      <c r="X644" s="11"/>
      <c r="Y644" s="52"/>
      <c r="Z644" s="11"/>
      <c r="AA644" s="11"/>
      <c r="AB644" s="11"/>
      <c r="AC644" s="11"/>
      <c r="AD644" s="11"/>
      <c r="AE644" s="11"/>
      <c r="AF644" s="11"/>
      <c r="AG644" s="10"/>
      <c r="AH644" s="10"/>
      <c r="AI644" s="10"/>
      <c r="AJ644" s="11"/>
      <c r="AK644" s="11"/>
      <c r="AM644" s="11"/>
      <c r="AN644" s="11"/>
      <c r="AO644" s="11"/>
      <c r="AP644" s="11"/>
      <c r="AQ644" s="11"/>
      <c r="AR644" s="11"/>
      <c r="AS644" s="11"/>
    </row>
    <row r="645" spans="1:45" x14ac:dyDescent="0.25">
      <c r="A645" s="11"/>
      <c r="B645" s="51" t="s">
        <v>1082</v>
      </c>
      <c r="C645" s="11"/>
      <c r="D645" s="51"/>
      <c r="E645" s="51"/>
      <c r="F645" s="51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9"/>
      <c r="R645" s="11"/>
      <c r="S645" s="11"/>
      <c r="T645" s="11"/>
      <c r="U645" s="11"/>
      <c r="V645" s="9"/>
      <c r="W645" s="11"/>
      <c r="X645" s="11"/>
      <c r="Y645" s="52"/>
      <c r="Z645" s="11"/>
      <c r="AA645" s="11"/>
      <c r="AB645" s="11"/>
      <c r="AC645" s="11"/>
      <c r="AD645" s="11"/>
      <c r="AE645" s="11"/>
      <c r="AF645" s="11"/>
      <c r="AG645" s="10"/>
      <c r="AH645" s="10"/>
      <c r="AI645" s="10"/>
      <c r="AJ645" s="11"/>
      <c r="AK645" s="11"/>
      <c r="AM645" s="11"/>
      <c r="AN645" s="11"/>
      <c r="AO645" s="11"/>
      <c r="AP645" s="11"/>
      <c r="AQ645" s="11"/>
      <c r="AR645" s="11"/>
      <c r="AS645" s="11"/>
    </row>
    <row r="646" spans="1:45" x14ac:dyDescent="0.25">
      <c r="A646" s="11"/>
      <c r="B646" s="51" t="s">
        <v>1082</v>
      </c>
      <c r="C646" s="11"/>
      <c r="D646" s="51"/>
      <c r="E646" s="51"/>
      <c r="F646" s="51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9"/>
      <c r="R646" s="11"/>
      <c r="S646" s="11"/>
      <c r="T646" s="11"/>
      <c r="U646" s="11"/>
      <c r="V646" s="9"/>
      <c r="W646" s="11"/>
      <c r="X646" s="11"/>
      <c r="Y646" s="52"/>
      <c r="Z646" s="11"/>
      <c r="AA646" s="11"/>
      <c r="AB646" s="11"/>
      <c r="AC646" s="11"/>
      <c r="AD646" s="11"/>
      <c r="AE646" s="11"/>
      <c r="AF646" s="11"/>
      <c r="AG646" s="10"/>
      <c r="AH646" s="10"/>
      <c r="AI646" s="10"/>
      <c r="AJ646" s="11"/>
      <c r="AK646" s="11"/>
      <c r="AM646" s="11"/>
      <c r="AN646" s="11"/>
      <c r="AO646" s="11"/>
      <c r="AP646" s="11"/>
      <c r="AQ646" s="11"/>
      <c r="AR646" s="11"/>
      <c r="AS646" s="11"/>
    </row>
    <row r="647" spans="1:45" x14ac:dyDescent="0.25">
      <c r="A647" s="11"/>
      <c r="B647" s="51" t="s">
        <v>1082</v>
      </c>
      <c r="C647" s="11"/>
      <c r="D647" s="51"/>
      <c r="E647" s="51"/>
      <c r="F647" s="51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9"/>
      <c r="R647" s="11"/>
      <c r="S647" s="11"/>
      <c r="T647" s="11"/>
      <c r="U647" s="11"/>
      <c r="V647" s="9"/>
      <c r="W647" s="11"/>
      <c r="X647" s="11"/>
      <c r="Y647" s="52"/>
      <c r="Z647" s="11"/>
      <c r="AA647" s="11"/>
      <c r="AB647" s="11"/>
      <c r="AC647" s="11"/>
      <c r="AD647" s="11"/>
      <c r="AE647" s="11"/>
      <c r="AF647" s="11"/>
      <c r="AG647" s="10"/>
      <c r="AH647" s="10"/>
      <c r="AI647" s="10"/>
      <c r="AJ647" s="11"/>
      <c r="AK647" s="11"/>
      <c r="AM647" s="11"/>
      <c r="AN647" s="11"/>
      <c r="AO647" s="11"/>
      <c r="AP647" s="11"/>
      <c r="AQ647" s="11"/>
      <c r="AR647" s="11"/>
      <c r="AS647" s="11"/>
    </row>
    <row r="648" spans="1:45" x14ac:dyDescent="0.25">
      <c r="A648" s="11"/>
      <c r="B648" s="51" t="s">
        <v>1082</v>
      </c>
      <c r="C648" s="11"/>
      <c r="D648" s="51"/>
      <c r="E648" s="51"/>
      <c r="F648" s="51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9"/>
      <c r="R648" s="11"/>
      <c r="S648" s="11"/>
      <c r="T648" s="11"/>
      <c r="U648" s="11"/>
      <c r="V648" s="9"/>
      <c r="W648" s="11"/>
      <c r="X648" s="11"/>
      <c r="Y648" s="52"/>
      <c r="Z648" s="11"/>
      <c r="AA648" s="11"/>
      <c r="AB648" s="11"/>
      <c r="AC648" s="11"/>
      <c r="AD648" s="11"/>
      <c r="AE648" s="11"/>
      <c r="AF648" s="11"/>
      <c r="AG648" s="10"/>
      <c r="AH648" s="10"/>
      <c r="AI648" s="10"/>
      <c r="AJ648" s="11"/>
      <c r="AK648" s="11"/>
      <c r="AM648" s="11"/>
      <c r="AN648" s="11"/>
      <c r="AO648" s="11"/>
      <c r="AP648" s="11"/>
      <c r="AQ648" s="11"/>
      <c r="AR648" s="11"/>
      <c r="AS648" s="11"/>
    </row>
    <row r="649" spans="1:45" x14ac:dyDescent="0.25">
      <c r="A649" s="11"/>
      <c r="B649" s="51" t="s">
        <v>1082</v>
      </c>
      <c r="C649" s="11"/>
      <c r="D649" s="51"/>
      <c r="E649" s="51"/>
      <c r="F649" s="51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9"/>
      <c r="R649" s="11"/>
      <c r="S649" s="11"/>
      <c r="T649" s="11"/>
      <c r="U649" s="11"/>
      <c r="V649" s="9"/>
      <c r="W649" s="11"/>
      <c r="X649" s="11"/>
      <c r="Y649" s="52"/>
      <c r="Z649" s="11"/>
      <c r="AA649" s="11"/>
      <c r="AB649" s="11"/>
      <c r="AC649" s="11"/>
      <c r="AD649" s="11"/>
      <c r="AE649" s="11"/>
      <c r="AF649" s="11"/>
      <c r="AG649" s="10"/>
      <c r="AH649" s="10"/>
      <c r="AI649" s="10"/>
      <c r="AJ649" s="11"/>
      <c r="AK649" s="11"/>
      <c r="AM649" s="11"/>
      <c r="AN649" s="11"/>
      <c r="AO649" s="11"/>
      <c r="AP649" s="11"/>
      <c r="AQ649" s="11"/>
      <c r="AR649" s="11"/>
      <c r="AS649" s="11"/>
    </row>
    <row r="650" spans="1:45" x14ac:dyDescent="0.25">
      <c r="A650" s="11"/>
      <c r="B650" s="51" t="s">
        <v>1082</v>
      </c>
      <c r="C650" s="11"/>
      <c r="D650" s="51"/>
      <c r="E650" s="51"/>
      <c r="F650" s="51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9"/>
      <c r="R650" s="11"/>
      <c r="S650" s="11"/>
      <c r="T650" s="11"/>
      <c r="U650" s="11"/>
      <c r="V650" s="9"/>
      <c r="W650" s="11"/>
      <c r="X650" s="11"/>
      <c r="Y650" s="52"/>
      <c r="Z650" s="11"/>
      <c r="AA650" s="11"/>
      <c r="AB650" s="11"/>
      <c r="AC650" s="11"/>
      <c r="AD650" s="11"/>
      <c r="AE650" s="11"/>
      <c r="AF650" s="11"/>
      <c r="AG650" s="10"/>
      <c r="AH650" s="10"/>
      <c r="AI650" s="10"/>
      <c r="AJ650" s="11"/>
      <c r="AK650" s="11"/>
      <c r="AM650" s="11"/>
      <c r="AN650" s="11"/>
      <c r="AO650" s="11"/>
      <c r="AP650" s="11"/>
      <c r="AQ650" s="11"/>
      <c r="AR650" s="11"/>
      <c r="AS650" s="11"/>
    </row>
    <row r="651" spans="1:45" x14ac:dyDescent="0.25">
      <c r="A651" s="11"/>
      <c r="B651" s="51" t="s">
        <v>1082</v>
      </c>
      <c r="C651" s="11"/>
      <c r="D651" s="51"/>
      <c r="E651" s="51"/>
      <c r="F651" s="51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9"/>
      <c r="R651" s="11"/>
      <c r="S651" s="11"/>
      <c r="T651" s="11"/>
      <c r="U651" s="11"/>
      <c r="V651" s="9"/>
      <c r="W651" s="11"/>
      <c r="X651" s="11"/>
      <c r="Y651" s="52"/>
      <c r="Z651" s="11"/>
      <c r="AA651" s="11"/>
      <c r="AB651" s="11"/>
      <c r="AC651" s="11"/>
      <c r="AD651" s="11"/>
      <c r="AE651" s="11"/>
      <c r="AF651" s="11"/>
      <c r="AG651" s="10"/>
      <c r="AH651" s="10"/>
      <c r="AI651" s="10"/>
      <c r="AJ651" s="11"/>
      <c r="AK651" s="11"/>
      <c r="AM651" s="11"/>
      <c r="AN651" s="11"/>
      <c r="AO651" s="11"/>
      <c r="AP651" s="11"/>
      <c r="AQ651" s="11"/>
      <c r="AR651" s="11"/>
      <c r="AS651" s="11"/>
    </row>
    <row r="652" spans="1:45" x14ac:dyDescent="0.25">
      <c r="A652" s="11"/>
      <c r="B652" s="51" t="s">
        <v>1082</v>
      </c>
      <c r="C652" s="11"/>
      <c r="D652" s="51"/>
      <c r="E652" s="51"/>
      <c r="F652" s="51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9"/>
      <c r="R652" s="11"/>
      <c r="S652" s="11"/>
      <c r="T652" s="11"/>
      <c r="U652" s="11"/>
      <c r="V652" s="9"/>
      <c r="W652" s="11"/>
      <c r="X652" s="11"/>
      <c r="Y652" s="52"/>
      <c r="Z652" s="11"/>
      <c r="AA652" s="11"/>
      <c r="AB652" s="11"/>
      <c r="AC652" s="11"/>
      <c r="AD652" s="11"/>
      <c r="AE652" s="11"/>
      <c r="AF652" s="11"/>
      <c r="AG652" s="10"/>
      <c r="AH652" s="10"/>
      <c r="AI652" s="10"/>
      <c r="AJ652" s="11"/>
      <c r="AK652" s="11"/>
      <c r="AM652" s="11"/>
      <c r="AN652" s="11"/>
      <c r="AO652" s="11"/>
      <c r="AP652" s="11"/>
      <c r="AQ652" s="11"/>
      <c r="AR652" s="11"/>
      <c r="AS652" s="11"/>
    </row>
    <row r="653" spans="1:45" x14ac:dyDescent="0.25">
      <c r="A653" s="11"/>
      <c r="B653" s="51" t="s">
        <v>1082</v>
      </c>
      <c r="C653" s="11"/>
      <c r="D653" s="51"/>
      <c r="E653" s="51"/>
      <c r="F653" s="51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9"/>
      <c r="R653" s="11"/>
      <c r="S653" s="11"/>
      <c r="T653" s="11"/>
      <c r="U653" s="11"/>
      <c r="V653" s="9"/>
      <c r="W653" s="11"/>
      <c r="X653" s="11"/>
      <c r="Y653" s="52"/>
      <c r="Z653" s="11"/>
      <c r="AA653" s="11"/>
      <c r="AB653" s="11"/>
      <c r="AC653" s="11"/>
      <c r="AD653" s="11"/>
      <c r="AE653" s="11"/>
      <c r="AF653" s="11"/>
      <c r="AG653" s="10"/>
      <c r="AH653" s="10"/>
      <c r="AI653" s="10"/>
      <c r="AJ653" s="11"/>
      <c r="AK653" s="11"/>
      <c r="AM653" s="11"/>
      <c r="AN653" s="11"/>
      <c r="AO653" s="11"/>
      <c r="AP653" s="11"/>
      <c r="AQ653" s="11"/>
      <c r="AR653" s="11"/>
      <c r="AS653" s="11"/>
    </row>
    <row r="654" spans="1:45" x14ac:dyDescent="0.25">
      <c r="A654" s="11"/>
      <c r="B654" s="51" t="s">
        <v>1082</v>
      </c>
      <c r="C654" s="11"/>
      <c r="D654" s="51"/>
      <c r="E654" s="51"/>
      <c r="F654" s="51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9"/>
      <c r="R654" s="11"/>
      <c r="S654" s="11"/>
      <c r="T654" s="11"/>
      <c r="U654" s="11"/>
      <c r="V654" s="9"/>
      <c r="W654" s="11"/>
      <c r="X654" s="11"/>
      <c r="Y654" s="52"/>
      <c r="Z654" s="11"/>
      <c r="AA654" s="11"/>
      <c r="AB654" s="11"/>
      <c r="AC654" s="11"/>
      <c r="AD654" s="11"/>
      <c r="AE654" s="11"/>
      <c r="AF654" s="11"/>
      <c r="AG654" s="10"/>
      <c r="AH654" s="10"/>
      <c r="AI654" s="10"/>
      <c r="AJ654" s="11"/>
      <c r="AK654" s="11"/>
      <c r="AM654" s="11"/>
      <c r="AN654" s="11"/>
      <c r="AO654" s="11"/>
      <c r="AP654" s="11"/>
      <c r="AQ654" s="11"/>
      <c r="AR654" s="11"/>
      <c r="AS654" s="11"/>
    </row>
    <row r="655" spans="1:45" x14ac:dyDescent="0.25">
      <c r="A655" s="11"/>
      <c r="B655" s="51" t="s">
        <v>1082</v>
      </c>
      <c r="C655" s="11"/>
      <c r="D655" s="51"/>
      <c r="E655" s="51"/>
      <c r="F655" s="51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9"/>
      <c r="R655" s="11"/>
      <c r="S655" s="11"/>
      <c r="T655" s="11"/>
      <c r="U655" s="11"/>
      <c r="V655" s="9"/>
      <c r="W655" s="11"/>
      <c r="X655" s="11"/>
      <c r="Y655" s="52"/>
      <c r="Z655" s="11"/>
      <c r="AA655" s="11"/>
      <c r="AB655" s="11"/>
      <c r="AC655" s="11"/>
      <c r="AD655" s="11"/>
      <c r="AE655" s="11"/>
      <c r="AF655" s="11"/>
      <c r="AG655" s="10"/>
      <c r="AH655" s="10"/>
      <c r="AI655" s="10"/>
      <c r="AJ655" s="11"/>
      <c r="AK655" s="11"/>
      <c r="AM655" s="11"/>
      <c r="AN655" s="11"/>
      <c r="AO655" s="11"/>
      <c r="AP655" s="11"/>
      <c r="AQ655" s="11"/>
      <c r="AR655" s="11"/>
      <c r="AS655" s="11"/>
    </row>
    <row r="656" spans="1:45" x14ac:dyDescent="0.25">
      <c r="AI656" s="5"/>
    </row>
  </sheetData>
  <autoFilter ref="AG1:AG656" xr:uid="{00000000-0009-0000-0000-000000000000}"/>
  <phoneticPr fontId="19" type="noConversion"/>
  <conditionalFormatting sqref="I118:I122">
    <cfRule type="containsText" dxfId="75" priority="215" operator="containsText" text="TR">
      <formula>NOT(ISERROR(SEARCH("TR",I118)))</formula>
    </cfRule>
  </conditionalFormatting>
  <conditionalFormatting sqref="M117:M142">
    <cfRule type="containsText" dxfId="74" priority="209" operator="containsText" text="TR">
      <formula>NOT(ISERROR(SEARCH("TR",M117)))</formula>
    </cfRule>
  </conditionalFormatting>
  <conditionalFormatting sqref="M173">
    <cfRule type="containsText" dxfId="73" priority="202" operator="containsText" text="TR">
      <formula>NOT(ISERROR(SEARCH("TR",M173)))</formula>
    </cfRule>
  </conditionalFormatting>
  <conditionalFormatting sqref="M181">
    <cfRule type="containsText" dxfId="72" priority="201" operator="containsText" text="TR">
      <formula>NOT(ISERROR(SEARCH("TR",M181)))</formula>
    </cfRule>
  </conditionalFormatting>
  <conditionalFormatting sqref="M184">
    <cfRule type="containsText" dxfId="71" priority="199" operator="containsText" text="TR">
      <formula>NOT(ISERROR(SEARCH("TR",M184)))</formula>
    </cfRule>
  </conditionalFormatting>
  <conditionalFormatting sqref="N6:N202">
    <cfRule type="containsText" dxfId="70" priority="219" operator="containsText" text="TR">
      <formula>NOT(ISERROR(SEARCH("TR",N6)))</formula>
    </cfRule>
  </conditionalFormatting>
  <conditionalFormatting sqref="V75">
    <cfRule type="duplicateValues" dxfId="69" priority="235"/>
    <cfRule type="duplicateValues" dxfId="68" priority="236"/>
    <cfRule type="duplicateValues" dxfId="67" priority="237"/>
  </conditionalFormatting>
  <conditionalFormatting sqref="V76:V82 V6:V74">
    <cfRule type="duplicateValues" dxfId="66" priority="456"/>
    <cfRule type="duplicateValues" dxfId="65" priority="457"/>
    <cfRule type="duplicateValues" dxfId="64" priority="458"/>
  </conditionalFormatting>
  <conditionalFormatting sqref="V83:V95">
    <cfRule type="duplicateValues" dxfId="63" priority="259"/>
    <cfRule type="duplicateValues" dxfId="62" priority="260"/>
    <cfRule type="duplicateValues" dxfId="61" priority="261"/>
  </conditionalFormatting>
  <conditionalFormatting sqref="V99">
    <cfRule type="containsText" dxfId="60" priority="254" operator="containsText" text="TR">
      <formula>NOT(ISERROR(SEARCH("TR",V99)))</formula>
    </cfRule>
    <cfRule type="duplicateValues" dxfId="59" priority="255"/>
    <cfRule type="duplicateValues" dxfId="58" priority="256"/>
    <cfRule type="duplicateValues" dxfId="57" priority="257"/>
  </conditionalFormatting>
  <conditionalFormatting sqref="W75">
    <cfRule type="duplicateValues" dxfId="56" priority="238"/>
  </conditionalFormatting>
  <conditionalFormatting sqref="W76:W89 W6:W74">
    <cfRule type="duplicateValues" dxfId="55" priority="465"/>
  </conditionalFormatting>
  <conditionalFormatting sqref="W90:W114">
    <cfRule type="duplicateValues" dxfId="54" priority="519"/>
  </conditionalFormatting>
  <conditionalFormatting sqref="AA6:AA88 V6:V95">
    <cfRule type="containsText" dxfId="53" priority="228" operator="containsText" text="TR">
      <formula>NOT(ISERROR(SEARCH("TR",V6)))</formula>
    </cfRule>
  </conditionalFormatting>
  <conditionalFormatting sqref="AE6:AE88">
    <cfRule type="containsText" dxfId="52" priority="207" operator="containsText" text="TR">
      <formula>NOT(ISERROR(SEARCH("TR",AE6)))</formula>
    </cfRule>
  </conditionalFormatting>
  <conditionalFormatting sqref="AQ6:AS88">
    <cfRule type="containsText" dxfId="51" priority="224" operator="containsText" text="TR">
      <formula>NOT(ISERROR(SEARCH("TR",AQ6)))</formula>
    </cfRule>
  </conditionalFormatting>
  <conditionalFormatting sqref="AS136">
    <cfRule type="containsText" dxfId="50" priority="204" operator="containsText" text="TR">
      <formula>NOT(ISERROR(SEARCH("TR",AS136)))</formula>
    </cfRule>
  </conditionalFormatting>
  <conditionalFormatting sqref="AS146">
    <cfRule type="containsText" dxfId="49" priority="205" operator="containsText" text="TR">
      <formula>NOT(ISERROR(SEARCH("TR",AS146)))</formula>
    </cfRule>
  </conditionalFormatting>
  <conditionalFormatting sqref="AS163:AS164">
    <cfRule type="containsText" dxfId="48" priority="203" operator="containsText" text="TR">
      <formula>NOT(ISERROR(SEARCH("TR",AS163)))</formula>
    </cfRule>
  </conditionalFormatting>
  <conditionalFormatting sqref="AT75">
    <cfRule type="duplicateValues" dxfId="47" priority="223" stopIfTrue="1"/>
  </conditionalFormatting>
  <conditionalFormatting sqref="AT77:AT86 AT6:AT61 AT63:AT74">
    <cfRule type="duplicateValues" dxfId="46" priority="477" stopIfTrue="1"/>
  </conditionalFormatting>
  <conditionalFormatting sqref="AT87:AT88">
    <cfRule type="duplicateValues" dxfId="45" priority="239" stopIfTrue="1"/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 xr:uid="{00000000-0002-0000-0000-000000000000}">
          <x14:formula1>
            <xm:f>SubContractor!$C$2:$C$50</xm:f>
          </x14:formula1>
          <xm:sqref>L1:L5</xm:sqref>
        </x14:dataValidation>
        <x14:dataValidation type="list" allowBlank="1" showInputMessage="1" showErrorMessage="1" xr:uid="{00000000-0002-0000-0000-000001000000}">
          <x14:formula1>
            <xm:f>Designation!$C$2:$C$50</xm:f>
          </x14:formula1>
          <xm:sqref>N1:N4 M1:M1048576</xm:sqref>
        </x14:dataValidation>
        <x14:dataValidation type="list" allowBlank="1" showInputMessage="1" showErrorMessage="1" xr:uid="{00000000-0002-0000-0000-000002000000}">
          <x14:formula1>
            <xm:f>EmployeeType!$C$2:$C$44</xm:f>
          </x14:formula1>
          <xm:sqref>Q656:T1048576 S1:S4 U1:Z4 Q1:R5 T1:T5 P1:P1048576</xm:sqref>
        </x14:dataValidation>
        <x14:dataValidation type="list" allowBlank="1" showInputMessage="1" showErrorMessage="1" xr:uid="{00000000-0002-0000-0000-000003000000}">
          <x14:formula1>
            <xm:f>WeeklyOff!$B$2:$B$45</xm:f>
          </x14:formula1>
          <xm:sqref>S656:T1048576 S6:S655</xm:sqref>
        </x14:dataValidation>
        <x14:dataValidation type="list" allowBlank="1" showInputMessage="1" showErrorMessage="1" xr:uid="{00000000-0002-0000-0000-000004000000}">
          <x14:formula1>
            <xm:f>PayGradeMatrix!$C$2:$C$33</xm:f>
          </x14:formula1>
          <xm:sqref>O1:O4 O6:O1048576</xm:sqref>
        </x14:dataValidation>
        <x14:dataValidation type="list" allowBlank="1" showInputMessage="1" showErrorMessage="1" xr:uid="{00000000-0002-0000-0000-000005000000}">
          <x14:formula1>
            <xm:f>ConstantData!$G$2:$G$10</xm:f>
          </x14:formula1>
          <xm:sqref>AT77:AT103 AT63:AT75 AT6:AT61 AT160 AT117:AT158 C1:C1048576</xm:sqref>
        </x14:dataValidation>
        <x14:dataValidation type="list" allowBlank="1" showInputMessage="1" showErrorMessage="1" xr:uid="{00000000-0002-0000-0000-000006000000}">
          <x14:formula1>
            <xm:f>ConstantData!$E$2:$E$50</xm:f>
          </x14:formula1>
          <xm:sqref>H1:H158 H160:H1048576</xm:sqref>
        </x14:dataValidation>
        <x14:dataValidation type="list" allowBlank="1" showInputMessage="1" showErrorMessage="1" xr:uid="{00000000-0002-0000-0000-000010000000}">
          <x14:formula1>
            <xm:f>'C:\Users\HP ZBOOK 15 G3\Downloads\[SUZLON_HRMS1333_180520261405SS530e2864-bad7-4e03-bf4a-a0c3c3fc9708.xlsm]ConstantData'!#REF!</xm:f>
          </x14:formula1>
          <xm:sqref>AT171:AT175 AT180:AT190</xm:sqref>
        </x14:dataValidation>
        <x14:dataValidation type="list" allowBlank="1" showInputMessage="1" showErrorMessage="1" xr:uid="{00000000-0002-0000-0000-000011000000}">
          <x14:formula1>
            <xm:f>Gender!$B$2:$B$50</xm:f>
          </x14:formula1>
          <xm:sqref>G1:G1048576</xm:sqref>
        </x14:dataValidation>
        <x14:dataValidation type="list" allowBlank="1" showInputMessage="1" showErrorMessage="1" xr:uid="{00000000-0002-0000-0000-000007000000}">
          <x14:formula1>
            <xm:f>Data!$B$2:$B$31</xm:f>
          </x14:formula1>
          <xm:sqref>T6:T1048576</xm:sqref>
        </x14:dataValidation>
        <x14:dataValidation type="list" allowBlank="1" showInputMessage="1" showErrorMessage="1" xr:uid="{00000000-0002-0000-0000-000008000000}">
          <x14:formula1>
            <xm:f>Data!$B$2:$B$8</xm:f>
          </x14:formula1>
          <xm:sqref>T6:T655</xm:sqref>
        </x14:dataValidation>
        <x14:dataValidation type="list" allowBlank="1" showInputMessage="1" showErrorMessage="1" xr:uid="{00000000-0002-0000-0000-000009000000}">
          <x14:formula1>
            <xm:f>Data!$B$2:$B$45</xm:f>
          </x14:formula1>
          <xm:sqref>T6:T655</xm:sqref>
        </x14:dataValidation>
        <x14:dataValidation type="list" allowBlank="1" showInputMessage="1" showErrorMessage="1" xr:uid="{00000000-0002-0000-0000-00000A000000}">
          <x14:formula1>
            <xm:f>Department!$C$2:$C$50</xm:f>
          </x14:formula1>
          <xm:sqref>L6:L1048576</xm:sqref>
        </x14:dataValidation>
        <x14:dataValidation type="list" allowBlank="1" showInputMessage="1" showErrorMessage="1" xr:uid="{00000000-0002-0000-0000-00000B000000}">
          <x14:formula1>
            <xm:f>Office!$C$2:$C$45</xm:f>
          </x14:formula1>
          <xm:sqref>K6:K1048576</xm:sqref>
        </x14:dataValidation>
        <x14:dataValidation type="list" allowBlank="1" showInputMessage="1" showErrorMessage="1" xr:uid="{00000000-0002-0000-0000-00000C000000}">
          <x14:formula1>
            <xm:f>HolidayGroup!$C$2:$C$46</xm:f>
          </x14:formula1>
          <xm:sqref>R6:R1048576</xm:sqref>
        </x14:dataValidation>
        <x14:dataValidation type="list" allowBlank="1" showInputMessage="1" showErrorMessage="1" xr:uid="{00000000-0002-0000-0000-00000D000000}">
          <x14:formula1>
            <xm:f>HolidayGroup!$C$2:$C$44</xm:f>
          </x14:formula1>
          <xm:sqref>R6:R655</xm:sqref>
        </x14:dataValidation>
        <x14:dataValidation type="list" allowBlank="1" showInputMessage="1" showErrorMessage="1" xr:uid="{00000000-0002-0000-0000-00000E000000}">
          <x14:formula1>
            <xm:f>WeeklyOff!$B$2:$B$20</xm:f>
          </x14:formula1>
          <xm:sqref>S6:S655</xm:sqref>
        </x14:dataValidation>
        <x14:dataValidation type="list" allowBlank="1" showInputMessage="1" showErrorMessage="1" xr:uid="{00000000-0002-0000-0000-00000F000000}">
          <x14:formula1>
            <xm:f>Grade!$C$2:$C$6</xm:f>
          </x14:formula1>
          <xm:sqref>N6:N1048576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C1:F21"/>
  <sheetViews>
    <sheetView topLeftCell="A11" workbookViewId="0">
      <selection activeCell="D2" sqref="D2:D21"/>
    </sheetView>
  </sheetViews>
  <sheetFormatPr defaultRowHeight="15" x14ac:dyDescent="0.25"/>
  <cols>
    <col min="3" max="3" width="33.28515625" bestFit="1" customWidth="1"/>
    <col min="4" max="4" width="16.28515625" customWidth="1"/>
    <col min="5" max="5" width="20.42578125" bestFit="1" customWidth="1"/>
    <col min="6" max="6" width="17.7109375" customWidth="1"/>
  </cols>
  <sheetData>
    <row r="1" spans="3:6" ht="30.75" thickBot="1" x14ac:dyDescent="0.3">
      <c r="D1" s="58" t="s">
        <v>1393</v>
      </c>
      <c r="E1" s="58" t="s">
        <v>1394</v>
      </c>
      <c r="F1" s="58" t="s">
        <v>1395</v>
      </c>
    </row>
    <row r="2" spans="3:6" ht="29.25" thickBot="1" x14ac:dyDescent="0.3">
      <c r="C2" s="53" t="s">
        <v>1355</v>
      </c>
      <c r="D2" s="59" t="s">
        <v>496</v>
      </c>
      <c r="E2" s="59" t="s">
        <v>1396</v>
      </c>
      <c r="F2" s="59" t="s">
        <v>1397</v>
      </c>
    </row>
    <row r="3" spans="3:6" ht="29.25" thickBot="1" x14ac:dyDescent="0.3">
      <c r="C3" s="54" t="s">
        <v>1356</v>
      </c>
      <c r="D3" s="59" t="s">
        <v>403</v>
      </c>
      <c r="E3" s="59" t="s">
        <v>812</v>
      </c>
      <c r="F3" s="59" t="s">
        <v>1398</v>
      </c>
    </row>
    <row r="4" spans="3:6" ht="43.5" thickBot="1" x14ac:dyDescent="0.3">
      <c r="C4" s="54" t="s">
        <v>1357</v>
      </c>
      <c r="D4" s="59" t="s">
        <v>516</v>
      </c>
      <c r="E4" s="59" t="s">
        <v>1136</v>
      </c>
      <c r="F4" s="59" t="s">
        <v>1399</v>
      </c>
    </row>
    <row r="5" spans="3:6" ht="29.25" thickBot="1" x14ac:dyDescent="0.3">
      <c r="C5" s="54" t="s">
        <v>1358</v>
      </c>
      <c r="D5" s="59" t="s">
        <v>1400</v>
      </c>
      <c r="E5" s="59" t="s">
        <v>387</v>
      </c>
      <c r="F5" s="59" t="s">
        <v>1401</v>
      </c>
    </row>
    <row r="6" spans="3:6" ht="29.25" thickBot="1" x14ac:dyDescent="0.3">
      <c r="C6" s="54" t="s">
        <v>1359</v>
      </c>
      <c r="D6" s="59" t="s">
        <v>502</v>
      </c>
      <c r="E6" s="59" t="s">
        <v>1402</v>
      </c>
      <c r="F6" s="59" t="s">
        <v>463</v>
      </c>
    </row>
    <row r="7" spans="3:6" ht="43.5" thickBot="1" x14ac:dyDescent="0.3">
      <c r="C7" s="55" t="s">
        <v>1360</v>
      </c>
      <c r="D7" s="59" t="s">
        <v>1403</v>
      </c>
      <c r="E7" s="59" t="s">
        <v>1132</v>
      </c>
      <c r="F7" s="59" t="s">
        <v>1404</v>
      </c>
    </row>
    <row r="8" spans="3:6" ht="29.25" thickBot="1" x14ac:dyDescent="0.3">
      <c r="C8" s="55" t="s">
        <v>1361</v>
      </c>
      <c r="D8" s="59" t="s">
        <v>502</v>
      </c>
      <c r="E8" s="59" t="s">
        <v>369</v>
      </c>
      <c r="F8" s="59" t="s">
        <v>1405</v>
      </c>
    </row>
    <row r="9" spans="3:6" ht="29.25" thickBot="1" x14ac:dyDescent="0.3">
      <c r="C9" s="55" t="s">
        <v>1362</v>
      </c>
      <c r="D9" s="59" t="s">
        <v>502</v>
      </c>
      <c r="E9" s="59" t="s">
        <v>377</v>
      </c>
      <c r="F9" s="59" t="s">
        <v>438</v>
      </c>
    </row>
    <row r="10" spans="3:6" ht="29.25" thickBot="1" x14ac:dyDescent="0.3">
      <c r="C10" s="55" t="s">
        <v>1363</v>
      </c>
      <c r="D10" s="59" t="s">
        <v>1158</v>
      </c>
      <c r="E10" s="59" t="s">
        <v>1406</v>
      </c>
      <c r="F10" s="59" t="s">
        <v>1397</v>
      </c>
    </row>
    <row r="11" spans="3:6" ht="29.25" thickBot="1" x14ac:dyDescent="0.3">
      <c r="C11" s="55" t="s">
        <v>1364</v>
      </c>
      <c r="D11" s="59" t="s">
        <v>505</v>
      </c>
      <c r="E11" s="59" t="s">
        <v>1407</v>
      </c>
      <c r="F11" s="59" t="s">
        <v>1408</v>
      </c>
    </row>
    <row r="12" spans="3:6" ht="29.25" thickBot="1" x14ac:dyDescent="0.3">
      <c r="C12" s="55" t="s">
        <v>1365</v>
      </c>
      <c r="D12" s="59" t="s">
        <v>496</v>
      </c>
      <c r="E12" s="59" t="s">
        <v>365</v>
      </c>
      <c r="F12" s="59" t="s">
        <v>819</v>
      </c>
    </row>
    <row r="13" spans="3:6" ht="29.25" thickBot="1" x14ac:dyDescent="0.3">
      <c r="C13" s="55" t="s">
        <v>1366</v>
      </c>
      <c r="D13" s="59" t="s">
        <v>1409</v>
      </c>
      <c r="E13" s="59" t="s">
        <v>1144</v>
      </c>
      <c r="F13" s="59" t="s">
        <v>1410</v>
      </c>
    </row>
    <row r="14" spans="3:6" ht="15.75" thickBot="1" x14ac:dyDescent="0.3">
      <c r="C14" s="55" t="s">
        <v>1367</v>
      </c>
      <c r="D14" s="59" t="s">
        <v>1151</v>
      </c>
      <c r="E14" s="59" t="s">
        <v>1148</v>
      </c>
      <c r="F14" s="59" t="s">
        <v>1411</v>
      </c>
    </row>
    <row r="15" spans="3:6" ht="29.25" thickBot="1" x14ac:dyDescent="0.3">
      <c r="C15" s="55" t="s">
        <v>1368</v>
      </c>
      <c r="D15" s="59" t="s">
        <v>1412</v>
      </c>
      <c r="E15" s="59" t="s">
        <v>399</v>
      </c>
      <c r="F15" s="59" t="s">
        <v>349</v>
      </c>
    </row>
    <row r="16" spans="3:6" ht="29.25" thickBot="1" x14ac:dyDescent="0.3">
      <c r="C16" s="55" t="s">
        <v>1369</v>
      </c>
      <c r="D16" s="59" t="s">
        <v>1139</v>
      </c>
      <c r="E16" s="59" t="s">
        <v>399</v>
      </c>
      <c r="F16" s="59" t="s">
        <v>486</v>
      </c>
    </row>
    <row r="17" spans="3:6" ht="29.25" thickBot="1" x14ac:dyDescent="0.3">
      <c r="C17" s="55" t="s">
        <v>1370</v>
      </c>
      <c r="D17" s="59" t="s">
        <v>506</v>
      </c>
      <c r="E17" s="59" t="s">
        <v>1413</v>
      </c>
      <c r="F17" s="59" t="s">
        <v>429</v>
      </c>
    </row>
    <row r="18" spans="3:6" ht="29.25" thickBot="1" x14ac:dyDescent="0.3">
      <c r="C18" s="56" t="s">
        <v>1371</v>
      </c>
      <c r="D18" s="59" t="s">
        <v>492</v>
      </c>
      <c r="E18" s="59" t="s">
        <v>1414</v>
      </c>
      <c r="F18" s="59" t="s">
        <v>1149</v>
      </c>
    </row>
    <row r="19" spans="3:6" ht="29.25" thickBot="1" x14ac:dyDescent="0.3">
      <c r="C19" s="54" t="s">
        <v>1372</v>
      </c>
      <c r="D19" s="59" t="s">
        <v>506</v>
      </c>
      <c r="E19" s="59" t="s">
        <v>388</v>
      </c>
      <c r="F19" s="59" t="s">
        <v>444</v>
      </c>
    </row>
    <row r="20" spans="3:6" ht="43.5" thickBot="1" x14ac:dyDescent="0.3">
      <c r="C20" s="53" t="s">
        <v>1373</v>
      </c>
      <c r="D20" s="59" t="s">
        <v>489</v>
      </c>
      <c r="E20" s="59" t="s">
        <v>463</v>
      </c>
      <c r="F20" s="59" t="s">
        <v>1415</v>
      </c>
    </row>
    <row r="21" spans="3:6" ht="29.25" thickBot="1" x14ac:dyDescent="0.3">
      <c r="C21" s="53" t="s">
        <v>1374</v>
      </c>
      <c r="D21" s="59" t="s">
        <v>1151</v>
      </c>
      <c r="E21" s="59" t="s">
        <v>1416</v>
      </c>
      <c r="F21" s="59" t="s">
        <v>1417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'C:\Users\HP ZBOOK 15 G3\Downloads\[SUZLON_HRMS1333_180520261405SS530e2864-bad7-4e03-bf4a-a0c3c3fc9708.xlsm]ConstantData'!#REF!</xm:f>
          </x14:formula1>
          <xm:sqref>C2:C6 C11:C21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B6"/>
  <sheetViews>
    <sheetView workbookViewId="0">
      <selection activeCell="B6" sqref="B6"/>
    </sheetView>
  </sheetViews>
  <sheetFormatPr defaultRowHeight="15" x14ac:dyDescent="0.25"/>
  <sheetData>
    <row r="2" spans="1:2" x14ac:dyDescent="0.25">
      <c r="A2">
        <v>9</v>
      </c>
      <c r="B2" t="s">
        <v>41</v>
      </c>
    </row>
    <row r="3" spans="1:2" x14ac:dyDescent="0.25">
      <c r="A3">
        <v>10</v>
      </c>
      <c r="B3" t="s">
        <v>42</v>
      </c>
    </row>
    <row r="4" spans="1:2" x14ac:dyDescent="0.25">
      <c r="A4">
        <v>11</v>
      </c>
      <c r="B4" t="s">
        <v>43</v>
      </c>
    </row>
    <row r="5" spans="1:2" x14ac:dyDescent="0.25">
      <c r="A5">
        <v>12</v>
      </c>
      <c r="B5" t="s">
        <v>44</v>
      </c>
    </row>
    <row r="6" spans="1:2" x14ac:dyDescent="0.25">
      <c r="A6">
        <v>21</v>
      </c>
      <c r="B6" t="s">
        <v>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2"/>
  <sheetViews>
    <sheetView workbookViewId="0">
      <selection activeCell="B3" sqref="B3"/>
    </sheetView>
  </sheetViews>
  <sheetFormatPr defaultRowHeight="15" x14ac:dyDescent="0.25"/>
  <sheetData>
    <row r="2" spans="2:2" x14ac:dyDescent="0.25">
      <c r="B2" t="s">
        <v>155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C2"/>
  <sheetViews>
    <sheetView workbookViewId="0">
      <selection activeCell="B2" sqref="B2:C2"/>
    </sheetView>
  </sheetViews>
  <sheetFormatPr defaultRowHeight="15" x14ac:dyDescent="0.25"/>
  <sheetData>
    <row r="2" spans="2:3" x14ac:dyDescent="0.25">
      <c r="B2">
        <v>4</v>
      </c>
      <c r="C2" t="s">
        <v>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C2:G9"/>
  <sheetViews>
    <sheetView workbookViewId="0">
      <selection activeCell="C3" sqref="C3"/>
    </sheetView>
  </sheetViews>
  <sheetFormatPr defaultRowHeight="15" x14ac:dyDescent="0.25"/>
  <sheetData>
    <row r="2" spans="3:7" x14ac:dyDescent="0.25">
      <c r="C2" t="s">
        <v>47</v>
      </c>
      <c r="E2" t="s">
        <v>48</v>
      </c>
      <c r="F2" t="s">
        <v>49</v>
      </c>
      <c r="G2" t="s">
        <v>50</v>
      </c>
    </row>
    <row r="3" spans="3:7" x14ac:dyDescent="0.25">
      <c r="C3" t="s">
        <v>51</v>
      </c>
      <c r="E3" t="s">
        <v>52</v>
      </c>
      <c r="F3" t="s">
        <v>53</v>
      </c>
      <c r="G3" t="s">
        <v>54</v>
      </c>
    </row>
    <row r="4" spans="3:7" x14ac:dyDescent="0.25">
      <c r="C4" t="s">
        <v>55</v>
      </c>
      <c r="E4" t="s">
        <v>56</v>
      </c>
      <c r="G4" t="s">
        <v>57</v>
      </c>
    </row>
    <row r="5" spans="3:7" x14ac:dyDescent="0.25">
      <c r="C5" t="s">
        <v>58</v>
      </c>
      <c r="E5" t="s">
        <v>59</v>
      </c>
    </row>
    <row r="6" spans="3:7" x14ac:dyDescent="0.25">
      <c r="E6" t="s">
        <v>60</v>
      </c>
    </row>
    <row r="7" spans="3:7" x14ac:dyDescent="0.25">
      <c r="E7" t="s">
        <v>61</v>
      </c>
    </row>
    <row r="8" spans="3:7" x14ac:dyDescent="0.25">
      <c r="E8" t="s">
        <v>62</v>
      </c>
    </row>
    <row r="9" spans="3:7" x14ac:dyDescent="0.25">
      <c r="E9" t="s">
        <v>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B2:B4"/>
  <sheetViews>
    <sheetView workbookViewId="0">
      <selection activeCell="B2" sqref="B2"/>
    </sheetView>
  </sheetViews>
  <sheetFormatPr defaultRowHeight="15" x14ac:dyDescent="0.25"/>
  <sheetData>
    <row r="2" spans="2:2" x14ac:dyDescent="0.25">
      <c r="B2" t="s">
        <v>64</v>
      </c>
    </row>
    <row r="3" spans="2:2" x14ac:dyDescent="0.25">
      <c r="B3" t="s">
        <v>65</v>
      </c>
    </row>
    <row r="4" spans="2:2" x14ac:dyDescent="0.25">
      <c r="B4" t="s">
        <v>66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B2:C2"/>
  <sheetViews>
    <sheetView workbookViewId="0">
      <selection activeCell="B2" sqref="B2:C2"/>
    </sheetView>
  </sheetViews>
  <sheetFormatPr defaultRowHeight="15" x14ac:dyDescent="0.25"/>
  <sheetData>
    <row r="2" spans="2:3" x14ac:dyDescent="0.25">
      <c r="B2">
        <v>5</v>
      </c>
      <c r="C2" t="s">
        <v>67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B2:C2"/>
  <sheetViews>
    <sheetView topLeftCell="A2" workbookViewId="0"/>
  </sheetViews>
  <sheetFormatPr defaultRowHeight="15" x14ac:dyDescent="0.25"/>
  <sheetData>
    <row r="2" spans="2:3" x14ac:dyDescent="0.25">
      <c r="B2">
        <v>9</v>
      </c>
      <c r="C2" t="s">
        <v>68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"/>
  <sheetViews>
    <sheetView workbookViewId="0">
      <selection activeCell="B1" sqref="B1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2:C27"/>
  <sheetViews>
    <sheetView workbookViewId="0">
      <selection activeCell="D1" sqref="D1"/>
    </sheetView>
  </sheetViews>
  <sheetFormatPr defaultRowHeight="15" x14ac:dyDescent="0.25"/>
  <sheetData>
    <row r="2" spans="2:3" x14ac:dyDescent="0.25">
      <c r="B2">
        <v>4</v>
      </c>
      <c r="C2" t="s">
        <v>69</v>
      </c>
    </row>
    <row r="3" spans="2:3" x14ac:dyDescent="0.25">
      <c r="B3">
        <v>9</v>
      </c>
      <c r="C3" t="s">
        <v>70</v>
      </c>
    </row>
    <row r="4" spans="2:3" x14ac:dyDescent="0.25">
      <c r="B4">
        <v>10</v>
      </c>
      <c r="C4" t="s">
        <v>71</v>
      </c>
    </row>
    <row r="5" spans="2:3" x14ac:dyDescent="0.25">
      <c r="B5">
        <v>11</v>
      </c>
      <c r="C5" t="s">
        <v>72</v>
      </c>
    </row>
    <row r="6" spans="2:3" x14ac:dyDescent="0.25">
      <c r="B6">
        <v>12</v>
      </c>
      <c r="C6" t="s">
        <v>73</v>
      </c>
    </row>
    <row r="7" spans="2:3" x14ac:dyDescent="0.25">
      <c r="B7">
        <v>13</v>
      </c>
      <c r="C7" t="s">
        <v>74</v>
      </c>
    </row>
    <row r="8" spans="2:3" x14ac:dyDescent="0.25">
      <c r="B8">
        <v>14</v>
      </c>
      <c r="C8" t="s">
        <v>75</v>
      </c>
    </row>
    <row r="9" spans="2:3" x14ac:dyDescent="0.25">
      <c r="B9">
        <v>15</v>
      </c>
      <c r="C9" t="s">
        <v>76</v>
      </c>
    </row>
    <row r="10" spans="2:3" x14ac:dyDescent="0.25">
      <c r="B10">
        <v>16</v>
      </c>
      <c r="C10" t="s">
        <v>77</v>
      </c>
    </row>
    <row r="11" spans="2:3" x14ac:dyDescent="0.25">
      <c r="B11">
        <v>17</v>
      </c>
      <c r="C11" t="s">
        <v>78</v>
      </c>
    </row>
    <row r="12" spans="2:3" x14ac:dyDescent="0.25">
      <c r="B12">
        <v>18</v>
      </c>
      <c r="C12" t="s">
        <v>79</v>
      </c>
    </row>
    <row r="13" spans="2:3" x14ac:dyDescent="0.25">
      <c r="B13">
        <v>19</v>
      </c>
      <c r="C13" t="s">
        <v>80</v>
      </c>
    </row>
    <row r="14" spans="2:3" x14ac:dyDescent="0.25">
      <c r="B14">
        <v>20</v>
      </c>
      <c r="C14" t="s">
        <v>81</v>
      </c>
    </row>
    <row r="15" spans="2:3" x14ac:dyDescent="0.25">
      <c r="B15">
        <v>21</v>
      </c>
      <c r="C15" t="s">
        <v>82</v>
      </c>
    </row>
    <row r="16" spans="2:3" x14ac:dyDescent="0.25">
      <c r="B16">
        <v>23</v>
      </c>
      <c r="C16" t="s">
        <v>83</v>
      </c>
    </row>
    <row r="17" spans="2:3" x14ac:dyDescent="0.25">
      <c r="B17">
        <v>24</v>
      </c>
      <c r="C17" t="s">
        <v>84</v>
      </c>
    </row>
    <row r="18" spans="2:3" x14ac:dyDescent="0.25">
      <c r="B18">
        <v>25</v>
      </c>
      <c r="C18" t="s">
        <v>85</v>
      </c>
    </row>
    <row r="19" spans="2:3" x14ac:dyDescent="0.25">
      <c r="B19">
        <v>27</v>
      </c>
      <c r="C19" t="s">
        <v>86</v>
      </c>
    </row>
    <row r="20" spans="2:3" x14ac:dyDescent="0.25">
      <c r="B20">
        <v>28</v>
      </c>
      <c r="C20" t="s">
        <v>87</v>
      </c>
    </row>
    <row r="21" spans="2:3" x14ac:dyDescent="0.25">
      <c r="B21">
        <v>31</v>
      </c>
      <c r="C21" t="s">
        <v>88</v>
      </c>
    </row>
    <row r="22" spans="2:3" x14ac:dyDescent="0.25">
      <c r="B22">
        <v>32</v>
      </c>
      <c r="C22" t="s">
        <v>89</v>
      </c>
    </row>
    <row r="23" spans="2:3" x14ac:dyDescent="0.25">
      <c r="B23">
        <v>33</v>
      </c>
      <c r="C23" t="s">
        <v>90</v>
      </c>
    </row>
    <row r="24" spans="2:3" x14ac:dyDescent="0.25">
      <c r="B24">
        <v>34</v>
      </c>
      <c r="C24" t="s">
        <v>91</v>
      </c>
    </row>
    <row r="25" spans="2:3" x14ac:dyDescent="0.25">
      <c r="B25">
        <v>35</v>
      </c>
      <c r="C25" t="s">
        <v>92</v>
      </c>
    </row>
    <row r="26" spans="2:3" x14ac:dyDescent="0.25">
      <c r="B26">
        <v>36</v>
      </c>
      <c r="C26" t="s">
        <v>93</v>
      </c>
    </row>
    <row r="27" spans="2:3" x14ac:dyDescent="0.25">
      <c r="B27">
        <v>37</v>
      </c>
      <c r="C27" t="s">
        <v>94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B2:C40"/>
  <sheetViews>
    <sheetView workbookViewId="0">
      <selection activeCell="B1" sqref="B1"/>
    </sheetView>
  </sheetViews>
  <sheetFormatPr defaultRowHeight="15" x14ac:dyDescent="0.25"/>
  <sheetData>
    <row r="2" spans="2:3" x14ac:dyDescent="0.25">
      <c r="B2">
        <v>15</v>
      </c>
      <c r="C2" t="s">
        <v>95</v>
      </c>
    </row>
    <row r="3" spans="2:3" x14ac:dyDescent="0.25">
      <c r="B3">
        <v>16</v>
      </c>
      <c r="C3" t="s">
        <v>96</v>
      </c>
    </row>
    <row r="4" spans="2:3" x14ac:dyDescent="0.25">
      <c r="B4">
        <v>17</v>
      </c>
      <c r="C4" t="s">
        <v>97</v>
      </c>
    </row>
    <row r="5" spans="2:3" x14ac:dyDescent="0.25">
      <c r="B5">
        <v>18</v>
      </c>
      <c r="C5" t="s">
        <v>98</v>
      </c>
    </row>
    <row r="6" spans="2:3" x14ac:dyDescent="0.25">
      <c r="B6">
        <v>19</v>
      </c>
      <c r="C6" t="s">
        <v>99</v>
      </c>
    </row>
    <row r="7" spans="2:3" x14ac:dyDescent="0.25">
      <c r="B7">
        <v>20</v>
      </c>
      <c r="C7" t="s">
        <v>100</v>
      </c>
    </row>
    <row r="8" spans="2:3" x14ac:dyDescent="0.25">
      <c r="B8">
        <v>21</v>
      </c>
      <c r="C8" t="s">
        <v>101</v>
      </c>
    </row>
    <row r="9" spans="2:3" x14ac:dyDescent="0.25">
      <c r="B9">
        <v>22</v>
      </c>
      <c r="C9" t="s">
        <v>102</v>
      </c>
    </row>
    <row r="10" spans="2:3" x14ac:dyDescent="0.25">
      <c r="B10">
        <v>23</v>
      </c>
      <c r="C10" t="s">
        <v>103</v>
      </c>
    </row>
    <row r="11" spans="2:3" x14ac:dyDescent="0.25">
      <c r="B11">
        <v>24</v>
      </c>
      <c r="C11" t="s">
        <v>104</v>
      </c>
    </row>
    <row r="12" spans="2:3" x14ac:dyDescent="0.25">
      <c r="B12">
        <v>25</v>
      </c>
      <c r="C12" t="s">
        <v>105</v>
      </c>
    </row>
    <row r="13" spans="2:3" x14ac:dyDescent="0.25">
      <c r="B13">
        <v>26</v>
      </c>
      <c r="C13" t="s">
        <v>106</v>
      </c>
    </row>
    <row r="14" spans="2:3" x14ac:dyDescent="0.25">
      <c r="B14">
        <v>27</v>
      </c>
      <c r="C14" t="s">
        <v>107</v>
      </c>
    </row>
    <row r="15" spans="2:3" x14ac:dyDescent="0.25">
      <c r="B15">
        <v>28</v>
      </c>
      <c r="C15" t="s">
        <v>108</v>
      </c>
    </row>
    <row r="16" spans="2:3" x14ac:dyDescent="0.25">
      <c r="B16">
        <v>29</v>
      </c>
      <c r="C16" t="s">
        <v>109</v>
      </c>
    </row>
    <row r="17" spans="2:3" x14ac:dyDescent="0.25">
      <c r="B17">
        <v>30</v>
      </c>
      <c r="C17" t="s">
        <v>110</v>
      </c>
    </row>
    <row r="18" spans="2:3" x14ac:dyDescent="0.25">
      <c r="B18">
        <v>31</v>
      </c>
      <c r="C18" t="s">
        <v>111</v>
      </c>
    </row>
    <row r="19" spans="2:3" x14ac:dyDescent="0.25">
      <c r="B19">
        <v>32</v>
      </c>
      <c r="C19" t="s">
        <v>112</v>
      </c>
    </row>
    <row r="20" spans="2:3" x14ac:dyDescent="0.25">
      <c r="B20">
        <v>33</v>
      </c>
      <c r="C20" t="s">
        <v>113</v>
      </c>
    </row>
    <row r="21" spans="2:3" x14ac:dyDescent="0.25">
      <c r="B21">
        <v>34</v>
      </c>
      <c r="C21" t="s">
        <v>114</v>
      </c>
    </row>
    <row r="22" spans="2:3" x14ac:dyDescent="0.25">
      <c r="B22">
        <v>35</v>
      </c>
      <c r="C22" t="s">
        <v>115</v>
      </c>
    </row>
    <row r="23" spans="2:3" x14ac:dyDescent="0.25">
      <c r="B23">
        <v>36</v>
      </c>
      <c r="C23" t="s">
        <v>116</v>
      </c>
    </row>
    <row r="24" spans="2:3" x14ac:dyDescent="0.25">
      <c r="B24">
        <v>37</v>
      </c>
      <c r="C24" t="s">
        <v>117</v>
      </c>
    </row>
    <row r="25" spans="2:3" x14ac:dyDescent="0.25">
      <c r="B25">
        <v>38</v>
      </c>
      <c r="C25" t="s">
        <v>118</v>
      </c>
    </row>
    <row r="26" spans="2:3" x14ac:dyDescent="0.25">
      <c r="B26">
        <v>39</v>
      </c>
      <c r="C26" t="s">
        <v>119</v>
      </c>
    </row>
    <row r="27" spans="2:3" x14ac:dyDescent="0.25">
      <c r="B27">
        <v>40</v>
      </c>
      <c r="C27" t="s">
        <v>120</v>
      </c>
    </row>
    <row r="28" spans="2:3" x14ac:dyDescent="0.25">
      <c r="B28">
        <v>41</v>
      </c>
      <c r="C28" t="s">
        <v>121</v>
      </c>
    </row>
    <row r="29" spans="2:3" x14ac:dyDescent="0.25">
      <c r="B29">
        <v>42</v>
      </c>
      <c r="C29" t="s">
        <v>122</v>
      </c>
    </row>
    <row r="30" spans="2:3" x14ac:dyDescent="0.25">
      <c r="B30">
        <v>43</v>
      </c>
      <c r="C30" t="s">
        <v>123</v>
      </c>
    </row>
    <row r="31" spans="2:3" x14ac:dyDescent="0.25">
      <c r="B31">
        <v>44</v>
      </c>
      <c r="C31" t="s">
        <v>124</v>
      </c>
    </row>
    <row r="32" spans="2:3" x14ac:dyDescent="0.25">
      <c r="B32">
        <v>45</v>
      </c>
      <c r="C32" t="s">
        <v>125</v>
      </c>
    </row>
    <row r="33" spans="2:3" x14ac:dyDescent="0.25">
      <c r="B33">
        <v>1</v>
      </c>
      <c r="C33" t="s">
        <v>126</v>
      </c>
    </row>
    <row r="34" spans="2:3" x14ac:dyDescent="0.25">
      <c r="B34">
        <v>2</v>
      </c>
      <c r="C34" t="s">
        <v>127</v>
      </c>
    </row>
    <row r="35" spans="2:3" x14ac:dyDescent="0.25">
      <c r="B35">
        <v>3</v>
      </c>
      <c r="C35" t="s">
        <v>128</v>
      </c>
    </row>
    <row r="36" spans="2:3" x14ac:dyDescent="0.25">
      <c r="B36">
        <v>12</v>
      </c>
      <c r="C36" t="s">
        <v>129</v>
      </c>
    </row>
    <row r="37" spans="2:3" x14ac:dyDescent="0.25">
      <c r="B37">
        <v>13</v>
      </c>
      <c r="C37" t="s">
        <v>130</v>
      </c>
    </row>
    <row r="38" spans="2:3" x14ac:dyDescent="0.25">
      <c r="B38">
        <v>14</v>
      </c>
      <c r="C38" t="s">
        <v>131</v>
      </c>
    </row>
    <row r="39" spans="2:3" x14ac:dyDescent="0.25">
      <c r="B39">
        <v>46</v>
      </c>
      <c r="C39" t="s">
        <v>132</v>
      </c>
    </row>
    <row r="40" spans="2:3" x14ac:dyDescent="0.25">
      <c r="B40">
        <v>47</v>
      </c>
      <c r="C40" t="s">
        <v>133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2:C9"/>
  <sheetViews>
    <sheetView workbookViewId="0">
      <selection activeCell="B2" sqref="B2:C9"/>
    </sheetView>
  </sheetViews>
  <sheetFormatPr defaultRowHeight="15" x14ac:dyDescent="0.25"/>
  <sheetData>
    <row r="2" spans="2:3" x14ac:dyDescent="0.25">
      <c r="B2">
        <v>21</v>
      </c>
      <c r="C2" t="s">
        <v>134</v>
      </c>
    </row>
    <row r="3" spans="2:3" x14ac:dyDescent="0.25">
      <c r="B3">
        <v>22</v>
      </c>
      <c r="C3" t="s">
        <v>135</v>
      </c>
    </row>
    <row r="4" spans="2:3" x14ac:dyDescent="0.25">
      <c r="B4">
        <v>23</v>
      </c>
      <c r="C4" t="s">
        <v>136</v>
      </c>
    </row>
    <row r="5" spans="2:3" x14ac:dyDescent="0.25">
      <c r="B5">
        <v>24</v>
      </c>
      <c r="C5" t="s">
        <v>137</v>
      </c>
    </row>
    <row r="6" spans="2:3" x14ac:dyDescent="0.25">
      <c r="B6">
        <v>25</v>
      </c>
      <c r="C6" t="s">
        <v>138</v>
      </c>
    </row>
    <row r="7" spans="2:3" x14ac:dyDescent="0.25">
      <c r="B7">
        <v>26</v>
      </c>
      <c r="C7" t="s">
        <v>139</v>
      </c>
    </row>
    <row r="8" spans="2:3" x14ac:dyDescent="0.25">
      <c r="B8">
        <v>27</v>
      </c>
      <c r="C8" t="s">
        <v>140</v>
      </c>
    </row>
    <row r="9" spans="2:3" x14ac:dyDescent="0.25">
      <c r="B9">
        <v>28</v>
      </c>
      <c r="C9" t="s">
        <v>141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B2:C6"/>
  <sheetViews>
    <sheetView workbookViewId="0">
      <selection activeCell="B2" sqref="B2:C6"/>
    </sheetView>
  </sheetViews>
  <sheetFormatPr defaultRowHeight="15" x14ac:dyDescent="0.25"/>
  <sheetData>
    <row r="2" spans="2:3" x14ac:dyDescent="0.25">
      <c r="B2">
        <v>1</v>
      </c>
      <c r="C2" t="s">
        <v>142</v>
      </c>
    </row>
    <row r="3" spans="2:3" x14ac:dyDescent="0.25">
      <c r="B3">
        <v>3</v>
      </c>
      <c r="C3" t="s">
        <v>143</v>
      </c>
    </row>
    <row r="4" spans="2:3" x14ac:dyDescent="0.25">
      <c r="B4">
        <v>4</v>
      </c>
      <c r="C4" t="s">
        <v>144</v>
      </c>
    </row>
    <row r="5" spans="2:3" x14ac:dyDescent="0.25">
      <c r="B5">
        <v>5</v>
      </c>
      <c r="C5" t="s">
        <v>153</v>
      </c>
    </row>
    <row r="6" spans="2:3" x14ac:dyDescent="0.25">
      <c r="B6">
        <v>6</v>
      </c>
      <c r="C6" t="s">
        <v>154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Details</vt:lpstr>
      <vt:lpstr>Sheet2</vt:lpstr>
      <vt:lpstr>Data</vt:lpstr>
      <vt:lpstr>WeeklyOff</vt:lpstr>
      <vt:lpstr>HolidayGroup</vt:lpstr>
      <vt:lpstr>ConstantData</vt:lpstr>
      <vt:lpstr>Gender</vt:lpstr>
      <vt:lpstr>Office</vt:lpstr>
      <vt:lpstr>EmployeeType</vt:lpstr>
      <vt:lpstr>SubContractor</vt:lpstr>
      <vt:lpstr>Department</vt:lpstr>
      <vt:lpstr>Designation</vt:lpstr>
      <vt:lpstr>PayGradeMatrix</vt:lpstr>
      <vt:lpstr>Grade</vt:lpstr>
    </vt:vector>
  </TitlesOfParts>
  <Manager/>
  <Company>Grizli777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Shahaji Jadhav</dc:creator>
  <cp:keywords/>
  <dc:description/>
  <cp:lastModifiedBy>SOMESH ADHIKARI</cp:lastModifiedBy>
  <cp:revision/>
  <cp:lastPrinted>2026-01-22T18:11:29Z</cp:lastPrinted>
  <dcterms:created xsi:type="dcterms:W3CDTF">2023-12-29T08:01:08Z</dcterms:created>
  <dcterms:modified xsi:type="dcterms:W3CDTF">2026-10-15T10:35:38Z</dcterms:modified>
  <cp:category/>
  <cp:contentStatus/>
</cp:coreProperties>
</file>